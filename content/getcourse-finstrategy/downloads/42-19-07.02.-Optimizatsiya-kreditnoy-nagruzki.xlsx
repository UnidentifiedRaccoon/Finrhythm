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131404\Desktop\ФЗ\"/>
    </mc:Choice>
  </mc:AlternateContent>
  <xr:revisionPtr revIDLastSave="0" documentId="13_ncr:1_{209095AD-3547-4E6C-A8D2-A6406CEAE33D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Обязательства (2)" sheetId="14" state="hidden" r:id="rId1"/>
    <sheet name="Обязательства" sheetId="3" state="hidden" r:id="rId2"/>
    <sheet name="Снежный ком" sheetId="10" r:id="rId3"/>
    <sheet name="Снежная лавина" sheetId="11" r:id="rId4"/>
    <sheet name="Баланс" sheetId="7" state="hidden" r:id="rId5"/>
    <sheet name="Пример" sheetId="8" state="hidden" r:id="rId6"/>
  </sheets>
  <externalReferences>
    <externalReference r:id="rId7"/>
  </externalReferences>
  <definedNames>
    <definedName name="currency">[1]src!$N$1:$N$5</definedName>
    <definedName name="month">[1]src!$B$1:$B$13</definedName>
    <definedName name="year">[1]src!$E$1:$E$86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" i="11" l="1"/>
  <c r="B13" i="10" l="1"/>
  <c r="C13" i="10" l="1"/>
  <c r="C13" i="11"/>
  <c r="D13" i="11"/>
  <c r="D13" i="10"/>
  <c r="B14" i="10"/>
  <c r="C14" i="10" s="1"/>
  <c r="F13" i="10" l="1"/>
  <c r="E13" i="11"/>
  <c r="F13" i="11"/>
  <c r="B14" i="11"/>
  <c r="E13" i="10"/>
  <c r="D14" i="10" s="1"/>
  <c r="H13" i="10"/>
  <c r="B15" i="10"/>
  <c r="C15" i="10" s="1"/>
  <c r="C14" i="11" l="1"/>
  <c r="B15" i="11" s="1"/>
  <c r="C15" i="11" s="1"/>
  <c r="G13" i="10"/>
  <c r="I13" i="10"/>
  <c r="H13" i="11"/>
  <c r="G13" i="11"/>
  <c r="J13" i="10"/>
  <c r="B16" i="10"/>
  <c r="C16" i="10" s="1"/>
  <c r="E14" i="10"/>
  <c r="D14" i="11" l="1"/>
  <c r="E14" i="11" s="1"/>
  <c r="L13" i="10"/>
  <c r="B16" i="11"/>
  <c r="C16" i="11" s="1"/>
  <c r="I13" i="11"/>
  <c r="J13" i="11"/>
  <c r="K13" i="10"/>
  <c r="B17" i="10"/>
  <c r="C17" i="10" s="1"/>
  <c r="D15" i="10"/>
  <c r="N13" i="10"/>
  <c r="M13" i="10"/>
  <c r="F14" i="10"/>
  <c r="F14" i="11" l="1"/>
  <c r="G14" i="11" s="1"/>
  <c r="D15" i="11"/>
  <c r="E15" i="11" s="1"/>
  <c r="D16" i="11" s="1"/>
  <c r="E16" i="11" s="1"/>
  <c r="E15" i="10"/>
  <c r="B17" i="11"/>
  <c r="C17" i="11" s="1"/>
  <c r="K13" i="11"/>
  <c r="L13" i="11"/>
  <c r="B18" i="10"/>
  <c r="O13" i="10"/>
  <c r="P13" i="10"/>
  <c r="D16" i="10"/>
  <c r="E16" i="10" s="1"/>
  <c r="G14" i="10"/>
  <c r="H14" i="10" s="1"/>
  <c r="F15" i="11" l="1"/>
  <c r="G15" i="11" s="1"/>
  <c r="F16" i="11" s="1"/>
  <c r="G16" i="11" s="1"/>
  <c r="H14" i="11"/>
  <c r="I14" i="11" s="1"/>
  <c r="C18" i="10"/>
  <c r="D17" i="11"/>
  <c r="E17" i="11" s="1"/>
  <c r="B18" i="11"/>
  <c r="C18" i="11" s="1"/>
  <c r="M13" i="11"/>
  <c r="N13" i="11"/>
  <c r="D17" i="10"/>
  <c r="E17" i="10" s="1"/>
  <c r="I14" i="10"/>
  <c r="J14" i="10" s="1"/>
  <c r="B19" i="10"/>
  <c r="C19" i="10" s="1"/>
  <c r="R13" i="10"/>
  <c r="Q13" i="10"/>
  <c r="F15" i="10"/>
  <c r="H15" i="11" l="1"/>
  <c r="I15" i="11" s="1"/>
  <c r="H16" i="11" s="1"/>
  <c r="I16" i="11" s="1"/>
  <c r="J14" i="11"/>
  <c r="K14" i="11" s="1"/>
  <c r="L14" i="11" s="1"/>
  <c r="G15" i="10"/>
  <c r="B19" i="11"/>
  <c r="C19" i="11" s="1"/>
  <c r="D18" i="11"/>
  <c r="E18" i="11" s="1"/>
  <c r="F17" i="11"/>
  <c r="G17" i="11" s="1"/>
  <c r="P13" i="11"/>
  <c r="O13" i="11"/>
  <c r="B20" i="10"/>
  <c r="C20" i="10" s="1"/>
  <c r="F16" i="10"/>
  <c r="G16" i="10" s="1"/>
  <c r="D18" i="10"/>
  <c r="E18" i="10" s="1"/>
  <c r="S13" i="10"/>
  <c r="T13" i="10"/>
  <c r="H15" i="10"/>
  <c r="K14" i="10"/>
  <c r="L14" i="10" s="1"/>
  <c r="J15" i="11" l="1"/>
  <c r="K15" i="11" s="1"/>
  <c r="J16" i="11" s="1"/>
  <c r="K16" i="11" s="1"/>
  <c r="I15" i="10"/>
  <c r="H16" i="10" s="1"/>
  <c r="M14" i="11"/>
  <c r="D19" i="11"/>
  <c r="E19" i="11" s="1"/>
  <c r="H17" i="11"/>
  <c r="I17" i="11" s="1"/>
  <c r="F18" i="11"/>
  <c r="G18" i="11" s="1"/>
  <c r="B20" i="11"/>
  <c r="C20" i="11" s="1"/>
  <c r="Q13" i="11"/>
  <c r="R13" i="11"/>
  <c r="F17" i="10"/>
  <c r="G17" i="10" s="1"/>
  <c r="D19" i="10"/>
  <c r="E19" i="10" s="1"/>
  <c r="B21" i="10"/>
  <c r="C21" i="10" s="1"/>
  <c r="J15" i="10"/>
  <c r="V13" i="10"/>
  <c r="U13" i="10"/>
  <c r="M14" i="10"/>
  <c r="N14" i="10" s="1"/>
  <c r="L15" i="11" l="1"/>
  <c r="M15" i="11" s="1"/>
  <c r="L16" i="11" s="1"/>
  <c r="M16" i="11" s="1"/>
  <c r="I16" i="10"/>
  <c r="H17" i="10" s="1"/>
  <c r="I17" i="10" s="1"/>
  <c r="K15" i="10"/>
  <c r="N14" i="11"/>
  <c r="H18" i="11"/>
  <c r="I18" i="11" s="1"/>
  <c r="D20" i="11"/>
  <c r="E20" i="11" s="1"/>
  <c r="B21" i="11"/>
  <c r="C21" i="11" s="1"/>
  <c r="J17" i="11"/>
  <c r="K17" i="11" s="1"/>
  <c r="F19" i="11"/>
  <c r="G19" i="11" s="1"/>
  <c r="S13" i="11"/>
  <c r="T13" i="11"/>
  <c r="J16" i="10"/>
  <c r="K16" i="10" s="1"/>
  <c r="B22" i="10"/>
  <c r="C22" i="10" s="1"/>
  <c r="F18" i="10"/>
  <c r="G18" i="10" s="1"/>
  <c r="O14" i="10"/>
  <c r="P14" i="10" s="1"/>
  <c r="D20" i="10"/>
  <c r="E20" i="10" s="1"/>
  <c r="L15" i="10"/>
  <c r="W13" i="10"/>
  <c r="X13" i="10"/>
  <c r="O14" i="11" l="1"/>
  <c r="P14" i="11" s="1"/>
  <c r="M15" i="10"/>
  <c r="L17" i="11"/>
  <c r="M17" i="11" s="1"/>
  <c r="F20" i="11"/>
  <c r="G20" i="11" s="1"/>
  <c r="D21" i="11"/>
  <c r="E21" i="11" s="1"/>
  <c r="J18" i="11"/>
  <c r="K18" i="11" s="1"/>
  <c r="B22" i="11"/>
  <c r="C22" i="11" s="1"/>
  <c r="H19" i="11"/>
  <c r="I19" i="11" s="1"/>
  <c r="U13" i="11"/>
  <c r="V13" i="11"/>
  <c r="F19" i="10"/>
  <c r="G19" i="10" s="1"/>
  <c r="D21" i="10"/>
  <c r="E21" i="10" s="1"/>
  <c r="B23" i="10"/>
  <c r="C23" i="10" s="1"/>
  <c r="J17" i="10"/>
  <c r="K17" i="10" s="1"/>
  <c r="L16" i="10"/>
  <c r="M16" i="10" s="1"/>
  <c r="N15" i="10"/>
  <c r="H18" i="10"/>
  <c r="I18" i="10" s="1"/>
  <c r="Z13" i="10"/>
  <c r="Y13" i="10"/>
  <c r="Q14" i="10"/>
  <c r="R14" i="10" s="1"/>
  <c r="N15" i="11" l="1"/>
  <c r="Q14" i="11"/>
  <c r="O15" i="10"/>
  <c r="D22" i="11"/>
  <c r="E22" i="11" s="1"/>
  <c r="F21" i="11"/>
  <c r="G21" i="11" s="1"/>
  <c r="H20" i="11"/>
  <c r="I20" i="11" s="1"/>
  <c r="B23" i="11"/>
  <c r="C23" i="11" s="1"/>
  <c r="J19" i="11"/>
  <c r="K19" i="11" s="1"/>
  <c r="L18" i="11"/>
  <c r="M18" i="11" s="1"/>
  <c r="X13" i="11"/>
  <c r="W13" i="11"/>
  <c r="B24" i="10"/>
  <c r="C24" i="10" s="1"/>
  <c r="H19" i="10"/>
  <c r="I19" i="10" s="1"/>
  <c r="N16" i="10"/>
  <c r="O16" i="10" s="1"/>
  <c r="D22" i="10"/>
  <c r="E22" i="10" s="1"/>
  <c r="J18" i="10"/>
  <c r="K18" i="10" s="1"/>
  <c r="L17" i="10"/>
  <c r="M17" i="10" s="1"/>
  <c r="F20" i="10"/>
  <c r="G20" i="10" s="1"/>
  <c r="AA13" i="10"/>
  <c r="AB13" i="10"/>
  <c r="S14" i="10"/>
  <c r="T14" i="10" s="1"/>
  <c r="P15" i="10"/>
  <c r="R14" i="11" l="1"/>
  <c r="Q15" i="10"/>
  <c r="O15" i="11"/>
  <c r="N16" i="11" s="1"/>
  <c r="O16" i="11" s="1"/>
  <c r="N17" i="11" s="1"/>
  <c r="O17" i="11" s="1"/>
  <c r="N18" i="11" s="1"/>
  <c r="O18" i="11" s="1"/>
  <c r="J20" i="11"/>
  <c r="K20" i="11" s="1"/>
  <c r="B24" i="11"/>
  <c r="C24" i="11" s="1"/>
  <c r="F22" i="11"/>
  <c r="G22" i="11" s="1"/>
  <c r="H21" i="11"/>
  <c r="I21" i="11" s="1"/>
  <c r="L19" i="11"/>
  <c r="M19" i="11" s="1"/>
  <c r="D23" i="11"/>
  <c r="E23" i="11" s="1"/>
  <c r="Y13" i="11"/>
  <c r="Z13" i="11"/>
  <c r="N17" i="10"/>
  <c r="O17" i="10" s="1"/>
  <c r="J19" i="10"/>
  <c r="K19" i="10" s="1"/>
  <c r="F21" i="10"/>
  <c r="G21" i="10" s="1"/>
  <c r="B25" i="10"/>
  <c r="C25" i="10" s="1"/>
  <c r="L18" i="10"/>
  <c r="M18" i="10" s="1"/>
  <c r="U14" i="10"/>
  <c r="V14" i="10" s="1"/>
  <c r="D23" i="10"/>
  <c r="E23" i="10" s="1"/>
  <c r="AD13" i="10"/>
  <c r="AC13" i="10"/>
  <c r="H20" i="10"/>
  <c r="I20" i="10" s="1"/>
  <c r="R15" i="10"/>
  <c r="S15" i="10" s="1"/>
  <c r="P16" i="10"/>
  <c r="Q16" i="10" s="1"/>
  <c r="S14" i="11" l="1"/>
  <c r="T14" i="11" s="1"/>
  <c r="P15" i="11"/>
  <c r="N19" i="11"/>
  <c r="O19" i="11" s="1"/>
  <c r="H22" i="11"/>
  <c r="I22" i="11" s="1"/>
  <c r="B25" i="11"/>
  <c r="C25" i="11" s="1"/>
  <c r="J21" i="11"/>
  <c r="K21" i="11" s="1"/>
  <c r="L20" i="11"/>
  <c r="M20" i="11" s="1"/>
  <c r="D24" i="11"/>
  <c r="E24" i="11" s="1"/>
  <c r="F23" i="11"/>
  <c r="G23" i="11" s="1"/>
  <c r="AB13" i="11"/>
  <c r="AA13" i="11"/>
  <c r="R16" i="10"/>
  <c r="S16" i="10" s="1"/>
  <c r="F22" i="10"/>
  <c r="G22" i="10" s="1"/>
  <c r="J20" i="10"/>
  <c r="K20" i="10" s="1"/>
  <c r="B26" i="10"/>
  <c r="C26" i="10" s="1"/>
  <c r="N18" i="10"/>
  <c r="O18" i="10" s="1"/>
  <c r="W14" i="10"/>
  <c r="X14" i="10" s="1"/>
  <c r="T15" i="10"/>
  <c r="U15" i="10" s="1"/>
  <c r="P17" i="10"/>
  <c r="Q17" i="10" s="1"/>
  <c r="D24" i="10"/>
  <c r="E24" i="10" s="1"/>
  <c r="L19" i="10"/>
  <c r="M19" i="10" s="1"/>
  <c r="H21" i="10"/>
  <c r="I21" i="10" s="1"/>
  <c r="AE13" i="10"/>
  <c r="AF13" i="10"/>
  <c r="AG13" i="10" s="1"/>
  <c r="U14" i="11" l="1"/>
  <c r="V14" i="11" s="1"/>
  <c r="Q15" i="11"/>
  <c r="P16" i="11" s="1"/>
  <c r="Q16" i="11" s="1"/>
  <c r="P17" i="11" s="1"/>
  <c r="Q17" i="11" s="1"/>
  <c r="P18" i="11" s="1"/>
  <c r="Q18" i="11" s="1"/>
  <c r="P19" i="11" s="1"/>
  <c r="Q19" i="11" s="1"/>
  <c r="B26" i="11"/>
  <c r="C26" i="11" s="1"/>
  <c r="L21" i="11"/>
  <c r="M21" i="11" s="1"/>
  <c r="H23" i="11"/>
  <c r="I23" i="11" s="1"/>
  <c r="J22" i="11"/>
  <c r="K22" i="11" s="1"/>
  <c r="D25" i="11"/>
  <c r="E25" i="11" s="1"/>
  <c r="F24" i="11"/>
  <c r="G24" i="11" s="1"/>
  <c r="N20" i="11"/>
  <c r="O20" i="11" s="1"/>
  <c r="AC13" i="11"/>
  <c r="AD13" i="11"/>
  <c r="B27" i="10"/>
  <c r="C27" i="10" s="1"/>
  <c r="T16" i="10"/>
  <c r="U16" i="10" s="1"/>
  <c r="F23" i="10"/>
  <c r="G23" i="10" s="1"/>
  <c r="L20" i="10"/>
  <c r="M20" i="10" s="1"/>
  <c r="J21" i="10"/>
  <c r="K21" i="10" s="1"/>
  <c r="P18" i="10"/>
  <c r="Q18" i="10" s="1"/>
  <c r="N19" i="10"/>
  <c r="O19" i="10" s="1"/>
  <c r="R17" i="10"/>
  <c r="S17" i="10" s="1"/>
  <c r="H22" i="10"/>
  <c r="I22" i="10" s="1"/>
  <c r="D25" i="10"/>
  <c r="E25" i="10" s="1"/>
  <c r="V15" i="10"/>
  <c r="W15" i="10" s="1"/>
  <c r="Y14" i="10"/>
  <c r="Z14" i="10" s="1"/>
  <c r="R15" i="11" l="1"/>
  <c r="S15" i="11" s="1"/>
  <c r="R16" i="11" s="1"/>
  <c r="S16" i="11" s="1"/>
  <c r="R17" i="11" s="1"/>
  <c r="S17" i="11" s="1"/>
  <c r="R18" i="11" s="1"/>
  <c r="S18" i="11" s="1"/>
  <c r="R19" i="11" s="1"/>
  <c r="S19" i="11" s="1"/>
  <c r="W14" i="11"/>
  <c r="X14" i="11" s="1"/>
  <c r="N21" i="11"/>
  <c r="O21" i="11" s="1"/>
  <c r="H24" i="11"/>
  <c r="I24" i="11" s="1"/>
  <c r="L22" i="11"/>
  <c r="M22" i="11" s="1"/>
  <c r="J23" i="11"/>
  <c r="K23" i="11" s="1"/>
  <c r="P20" i="11"/>
  <c r="Q20" i="11" s="1"/>
  <c r="D26" i="11"/>
  <c r="E26" i="11" s="1"/>
  <c r="F25" i="11"/>
  <c r="G25" i="11" s="1"/>
  <c r="B27" i="11"/>
  <c r="C27" i="11" s="1"/>
  <c r="AF13" i="11"/>
  <c r="AG13" i="11" s="1"/>
  <c r="AE13" i="11"/>
  <c r="R18" i="10"/>
  <c r="S18" i="10" s="1"/>
  <c r="V16" i="10"/>
  <c r="W16" i="10" s="1"/>
  <c r="J22" i="10"/>
  <c r="K22" i="10" s="1"/>
  <c r="N20" i="10"/>
  <c r="O20" i="10" s="1"/>
  <c r="F24" i="10"/>
  <c r="G24" i="10" s="1"/>
  <c r="B28" i="10"/>
  <c r="C28" i="10" s="1"/>
  <c r="AA14" i="10"/>
  <c r="AB14" i="10" s="1"/>
  <c r="L21" i="10"/>
  <c r="M21" i="10" s="1"/>
  <c r="X15" i="10"/>
  <c r="Y15" i="10" s="1"/>
  <c r="D26" i="10"/>
  <c r="E26" i="10" s="1"/>
  <c r="P19" i="10"/>
  <c r="Q19" i="10" s="1"/>
  <c r="H23" i="10"/>
  <c r="I23" i="10" s="1"/>
  <c r="T17" i="10"/>
  <c r="U17" i="10" s="1"/>
  <c r="T15" i="11" l="1"/>
  <c r="U15" i="11" s="1"/>
  <c r="T16" i="11" s="1"/>
  <c r="U16" i="11" s="1"/>
  <c r="T17" i="11" s="1"/>
  <c r="U17" i="11" s="1"/>
  <c r="T18" i="11" s="1"/>
  <c r="U18" i="11" s="1"/>
  <c r="T19" i="11" s="1"/>
  <c r="U19" i="11" s="1"/>
  <c r="Y14" i="11"/>
  <c r="Z14" i="11" s="1"/>
  <c r="D27" i="11"/>
  <c r="E27" i="11" s="1"/>
  <c r="F26" i="11"/>
  <c r="G26" i="11" s="1"/>
  <c r="P21" i="11"/>
  <c r="Q21" i="11" s="1"/>
  <c r="J24" i="11"/>
  <c r="K24" i="11" s="1"/>
  <c r="H25" i="11"/>
  <c r="I25" i="11" s="1"/>
  <c r="B28" i="11"/>
  <c r="C28" i="11" s="1"/>
  <c r="R20" i="11"/>
  <c r="S20" i="11" s="1"/>
  <c r="L23" i="11"/>
  <c r="M23" i="11" s="1"/>
  <c r="N22" i="11"/>
  <c r="O22" i="11" s="1"/>
  <c r="N21" i="10"/>
  <c r="O21" i="10" s="1"/>
  <c r="J23" i="10"/>
  <c r="K23" i="10" s="1"/>
  <c r="H24" i="10"/>
  <c r="I24" i="10" s="1"/>
  <c r="B29" i="10"/>
  <c r="C29" i="10" s="1"/>
  <c r="V17" i="10"/>
  <c r="W17" i="10" s="1"/>
  <c r="D27" i="10"/>
  <c r="E27" i="10" s="1"/>
  <c r="F25" i="10"/>
  <c r="G25" i="10" s="1"/>
  <c r="R19" i="10"/>
  <c r="S19" i="10" s="1"/>
  <c r="L22" i="10"/>
  <c r="M22" i="10" s="1"/>
  <c r="X16" i="10"/>
  <c r="Y16" i="10" s="1"/>
  <c r="AC14" i="10"/>
  <c r="AD14" i="10" s="1"/>
  <c r="T18" i="10"/>
  <c r="U18" i="10" s="1"/>
  <c r="P20" i="10"/>
  <c r="Q20" i="10" s="1"/>
  <c r="Z15" i="10"/>
  <c r="AA15" i="10" s="1"/>
  <c r="V15" i="11" l="1"/>
  <c r="W15" i="11" s="1"/>
  <c r="V16" i="11" s="1"/>
  <c r="W16" i="11" s="1"/>
  <c r="V17" i="11" s="1"/>
  <c r="W17" i="11" s="1"/>
  <c r="V18" i="11" s="1"/>
  <c r="W18" i="11" s="1"/>
  <c r="V19" i="11" s="1"/>
  <c r="W19" i="11" s="1"/>
  <c r="AA14" i="11"/>
  <c r="AB14" i="11" s="1"/>
  <c r="J25" i="11"/>
  <c r="K25" i="11" s="1"/>
  <c r="F27" i="11"/>
  <c r="G27" i="11" s="1"/>
  <c r="B29" i="11"/>
  <c r="C29" i="11" s="1"/>
  <c r="R21" i="11"/>
  <c r="S21" i="11" s="1"/>
  <c r="T20" i="11"/>
  <c r="U20" i="11" s="1"/>
  <c r="D28" i="11"/>
  <c r="E28" i="11" s="1"/>
  <c r="N23" i="11"/>
  <c r="O23" i="11" s="1"/>
  <c r="L24" i="11"/>
  <c r="M24" i="11" s="1"/>
  <c r="H26" i="11"/>
  <c r="I26" i="11" s="1"/>
  <c r="P22" i="11"/>
  <c r="Q22" i="11" s="1"/>
  <c r="F26" i="10"/>
  <c r="G26" i="10" s="1"/>
  <c r="P21" i="10"/>
  <c r="Q21" i="10" s="1"/>
  <c r="X17" i="10"/>
  <c r="Y17" i="10" s="1"/>
  <c r="D28" i="10"/>
  <c r="E28" i="10" s="1"/>
  <c r="T19" i="10"/>
  <c r="U19" i="10" s="1"/>
  <c r="L23" i="10"/>
  <c r="M23" i="10" s="1"/>
  <c r="V18" i="10"/>
  <c r="W18" i="10" s="1"/>
  <c r="J24" i="10"/>
  <c r="K24" i="10" s="1"/>
  <c r="Z16" i="10"/>
  <c r="AA16" i="10" s="1"/>
  <c r="R20" i="10"/>
  <c r="S20" i="10" s="1"/>
  <c r="B30" i="10"/>
  <c r="C30" i="10" s="1"/>
  <c r="N22" i="10"/>
  <c r="O22" i="10" s="1"/>
  <c r="AE14" i="10"/>
  <c r="H25" i="10"/>
  <c r="I25" i="10" s="1"/>
  <c r="AB15" i="10"/>
  <c r="AC15" i="10" s="1"/>
  <c r="X15" i="11" l="1"/>
  <c r="Y15" i="11" s="1"/>
  <c r="X16" i="11" s="1"/>
  <c r="Y16" i="11" s="1"/>
  <c r="X17" i="11" s="1"/>
  <c r="Y17" i="11" s="1"/>
  <c r="X18" i="11" s="1"/>
  <c r="Y18" i="11" s="1"/>
  <c r="X19" i="11" s="1"/>
  <c r="Y19" i="11" s="1"/>
  <c r="AC14" i="11"/>
  <c r="AD14" i="11" s="1"/>
  <c r="H27" i="11"/>
  <c r="I27" i="11" s="1"/>
  <c r="R22" i="11"/>
  <c r="S22" i="11" s="1"/>
  <c r="T21" i="11"/>
  <c r="U21" i="11" s="1"/>
  <c r="F28" i="11"/>
  <c r="G28" i="11" s="1"/>
  <c r="N24" i="11"/>
  <c r="O24" i="11" s="1"/>
  <c r="J26" i="11"/>
  <c r="K26" i="11" s="1"/>
  <c r="P23" i="11"/>
  <c r="Q23" i="11" s="1"/>
  <c r="V20" i="11"/>
  <c r="W20" i="11" s="1"/>
  <c r="B30" i="11"/>
  <c r="C30" i="11" s="1"/>
  <c r="D29" i="11"/>
  <c r="E29" i="11" s="1"/>
  <c r="L25" i="11"/>
  <c r="M25" i="11" s="1"/>
  <c r="V19" i="10"/>
  <c r="W19" i="10" s="1"/>
  <c r="D29" i="10"/>
  <c r="E29" i="10" s="1"/>
  <c r="AB16" i="10"/>
  <c r="AC16" i="10" s="1"/>
  <c r="H26" i="10"/>
  <c r="I26" i="10" s="1"/>
  <c r="R21" i="10"/>
  <c r="S21" i="10" s="1"/>
  <c r="X18" i="10"/>
  <c r="Y18" i="10" s="1"/>
  <c r="B31" i="10"/>
  <c r="C31" i="10" s="1"/>
  <c r="Z17" i="10"/>
  <c r="AA17" i="10" s="1"/>
  <c r="P22" i="10"/>
  <c r="Q22" i="10" s="1"/>
  <c r="N23" i="10"/>
  <c r="O23" i="10" s="1"/>
  <c r="J25" i="10"/>
  <c r="K25" i="10" s="1"/>
  <c r="T20" i="10"/>
  <c r="U20" i="10" s="1"/>
  <c r="F27" i="10"/>
  <c r="G27" i="10" s="1"/>
  <c r="L24" i="10"/>
  <c r="M24" i="10" s="1"/>
  <c r="AD15" i="10"/>
  <c r="AE15" i="10" s="1"/>
  <c r="AF14" i="10"/>
  <c r="AG14" i="10" s="1"/>
  <c r="Z15" i="11" l="1"/>
  <c r="AA15" i="11" s="1"/>
  <c r="Z16" i="11" s="1"/>
  <c r="AA16" i="11" s="1"/>
  <c r="Z17" i="11" s="1"/>
  <c r="AA17" i="11" s="1"/>
  <c r="Z18" i="11" s="1"/>
  <c r="AA18" i="11" s="1"/>
  <c r="Z19" i="11" s="1"/>
  <c r="AA19" i="11" s="1"/>
  <c r="AE14" i="11"/>
  <c r="AF14" i="11" s="1"/>
  <c r="AG14" i="11" s="1"/>
  <c r="L26" i="11"/>
  <c r="M26" i="11" s="1"/>
  <c r="V21" i="11"/>
  <c r="W21" i="11" s="1"/>
  <c r="N25" i="11"/>
  <c r="O25" i="11" s="1"/>
  <c r="R23" i="11"/>
  <c r="S23" i="11" s="1"/>
  <c r="B31" i="11"/>
  <c r="C31" i="11" s="1"/>
  <c r="F29" i="11"/>
  <c r="G29" i="11" s="1"/>
  <c r="X20" i="11"/>
  <c r="Y20" i="11" s="1"/>
  <c r="J27" i="11"/>
  <c r="K27" i="11" s="1"/>
  <c r="D30" i="11"/>
  <c r="E30" i="11" s="1"/>
  <c r="P24" i="11"/>
  <c r="Q24" i="11" s="1"/>
  <c r="T22" i="11"/>
  <c r="U22" i="11" s="1"/>
  <c r="H28" i="11"/>
  <c r="I28" i="11" s="1"/>
  <c r="F28" i="10"/>
  <c r="G28" i="10" s="1"/>
  <c r="H27" i="10"/>
  <c r="I27" i="10" s="1"/>
  <c r="AB17" i="10"/>
  <c r="AC17" i="10" s="1"/>
  <c r="N24" i="10"/>
  <c r="O24" i="10" s="1"/>
  <c r="AD16" i="10"/>
  <c r="AE16" i="10" s="1"/>
  <c r="D30" i="10"/>
  <c r="E30" i="10" s="1"/>
  <c r="B32" i="10"/>
  <c r="C32" i="10" s="1"/>
  <c r="L25" i="10"/>
  <c r="M25" i="10" s="1"/>
  <c r="J26" i="10"/>
  <c r="K26" i="10" s="1"/>
  <c r="Z18" i="10"/>
  <c r="AA18" i="10" s="1"/>
  <c r="R22" i="10"/>
  <c r="S22" i="10" s="1"/>
  <c r="V20" i="10"/>
  <c r="W20" i="10" s="1"/>
  <c r="X19" i="10"/>
  <c r="Y19" i="10" s="1"/>
  <c r="AF15" i="10"/>
  <c r="AG15" i="10" s="1"/>
  <c r="P23" i="10"/>
  <c r="Q23" i="10" s="1"/>
  <c r="T21" i="10"/>
  <c r="U21" i="10" s="1"/>
  <c r="AB15" i="11" l="1"/>
  <c r="AC15" i="11" s="1"/>
  <c r="AB16" i="11" s="1"/>
  <c r="AC16" i="11" s="1"/>
  <c r="AB17" i="11" s="1"/>
  <c r="AC17" i="11" s="1"/>
  <c r="AB18" i="11" s="1"/>
  <c r="AC18" i="11" s="1"/>
  <c r="AB19" i="11" s="1"/>
  <c r="AC19" i="11" s="1"/>
  <c r="H29" i="11"/>
  <c r="I29" i="11" s="1"/>
  <c r="V22" i="11"/>
  <c r="W22" i="11" s="1"/>
  <c r="T23" i="11"/>
  <c r="U23" i="11" s="1"/>
  <c r="J28" i="11"/>
  <c r="K28" i="11" s="1"/>
  <c r="B32" i="11"/>
  <c r="C32" i="11" s="1"/>
  <c r="D31" i="11"/>
  <c r="E31" i="11" s="1"/>
  <c r="X21" i="11"/>
  <c r="Y21" i="11" s="1"/>
  <c r="R24" i="11"/>
  <c r="S24" i="11" s="1"/>
  <c r="Z20" i="11"/>
  <c r="AA20" i="11" s="1"/>
  <c r="P25" i="11"/>
  <c r="Q25" i="11" s="1"/>
  <c r="F30" i="11"/>
  <c r="G30" i="11" s="1"/>
  <c r="N26" i="11"/>
  <c r="O26" i="11" s="1"/>
  <c r="L27" i="11"/>
  <c r="M27" i="11" s="1"/>
  <c r="AF16" i="10"/>
  <c r="AG16" i="10" s="1"/>
  <c r="Z19" i="10"/>
  <c r="AA19" i="10" s="1"/>
  <c r="N25" i="10"/>
  <c r="O25" i="10" s="1"/>
  <c r="X20" i="10"/>
  <c r="Y20" i="10" s="1"/>
  <c r="B33" i="10"/>
  <c r="C33" i="10" s="1"/>
  <c r="AB18" i="10"/>
  <c r="AC18" i="10" s="1"/>
  <c r="V21" i="10"/>
  <c r="W21" i="10" s="1"/>
  <c r="D31" i="10"/>
  <c r="E31" i="10" s="1"/>
  <c r="H28" i="10"/>
  <c r="I28" i="10" s="1"/>
  <c r="R23" i="10"/>
  <c r="S23" i="10" s="1"/>
  <c r="AD17" i="10"/>
  <c r="AE17" i="10" s="1"/>
  <c r="F29" i="10"/>
  <c r="G29" i="10" s="1"/>
  <c r="L26" i="10"/>
  <c r="M26" i="10" s="1"/>
  <c r="T22" i="10"/>
  <c r="U22" i="10" s="1"/>
  <c r="P24" i="10"/>
  <c r="Q24" i="10" s="1"/>
  <c r="J27" i="10"/>
  <c r="K27" i="10" s="1"/>
  <c r="AD15" i="11" l="1"/>
  <c r="AE15" i="11" s="1"/>
  <c r="AD16" i="11" s="1"/>
  <c r="AE16" i="11" s="1"/>
  <c r="AD17" i="11" s="1"/>
  <c r="AE17" i="11" s="1"/>
  <c r="AD18" i="11" s="1"/>
  <c r="AE18" i="11" s="1"/>
  <c r="AD19" i="11" s="1"/>
  <c r="AE19" i="11" s="1"/>
  <c r="P26" i="11"/>
  <c r="Q26" i="11" s="1"/>
  <c r="J29" i="11"/>
  <c r="K29" i="11" s="1"/>
  <c r="N27" i="11"/>
  <c r="O27" i="11" s="1"/>
  <c r="Z21" i="11"/>
  <c r="AA21" i="11" s="1"/>
  <c r="D32" i="11"/>
  <c r="E32" i="11" s="1"/>
  <c r="T24" i="11"/>
  <c r="U24" i="11" s="1"/>
  <c r="L28" i="11"/>
  <c r="M28" i="11" s="1"/>
  <c r="AB20" i="11"/>
  <c r="AC20" i="11" s="1"/>
  <c r="V23" i="11"/>
  <c r="W23" i="11" s="1"/>
  <c r="X22" i="11"/>
  <c r="Y22" i="11" s="1"/>
  <c r="F31" i="11"/>
  <c r="G31" i="11" s="1"/>
  <c r="R25" i="11"/>
  <c r="S25" i="11" s="1"/>
  <c r="B33" i="11"/>
  <c r="C33" i="11" s="1"/>
  <c r="H30" i="11"/>
  <c r="I30" i="11" s="1"/>
  <c r="D32" i="10"/>
  <c r="E32" i="10" s="1"/>
  <c r="H29" i="10"/>
  <c r="I29" i="10" s="1"/>
  <c r="B34" i="10"/>
  <c r="C34" i="10" s="1"/>
  <c r="AD18" i="10"/>
  <c r="AE18" i="10" s="1"/>
  <c r="V22" i="10"/>
  <c r="W22" i="10" s="1"/>
  <c r="Z20" i="10"/>
  <c r="AA20" i="10" s="1"/>
  <c r="L27" i="10"/>
  <c r="M27" i="10" s="1"/>
  <c r="F30" i="10"/>
  <c r="G30" i="10" s="1"/>
  <c r="R24" i="10"/>
  <c r="S24" i="10" s="1"/>
  <c r="AF17" i="10"/>
  <c r="AG17" i="10" s="1"/>
  <c r="AB19" i="10"/>
  <c r="AC19" i="10" s="1"/>
  <c r="X21" i="10"/>
  <c r="Y21" i="10" s="1"/>
  <c r="J28" i="10"/>
  <c r="K28" i="10" s="1"/>
  <c r="T23" i="10"/>
  <c r="U23" i="10" s="1"/>
  <c r="P25" i="10"/>
  <c r="Q25" i="10" s="1"/>
  <c r="N26" i="10"/>
  <c r="O26" i="10" s="1"/>
  <c r="AF15" i="11" l="1"/>
  <c r="AG15" i="11" s="1"/>
  <c r="AF16" i="11" s="1"/>
  <c r="AG16" i="11" s="1"/>
  <c r="AF17" i="11" s="1"/>
  <c r="AG17" i="11" s="1"/>
  <c r="AF18" i="11" s="1"/>
  <c r="AG18" i="11" s="1"/>
  <c r="AF19" i="11" s="1"/>
  <c r="AG19" i="11" s="1"/>
  <c r="AD20" i="11"/>
  <c r="AE20" i="11" s="1"/>
  <c r="B34" i="11"/>
  <c r="C34" i="11" s="1"/>
  <c r="X23" i="11"/>
  <c r="Y23" i="11" s="1"/>
  <c r="L29" i="11"/>
  <c r="M29" i="11" s="1"/>
  <c r="N28" i="11"/>
  <c r="O28" i="11" s="1"/>
  <c r="F32" i="11"/>
  <c r="G32" i="11" s="1"/>
  <c r="R26" i="11"/>
  <c r="S26" i="11" s="1"/>
  <c r="T25" i="11"/>
  <c r="U25" i="11" s="1"/>
  <c r="J30" i="11"/>
  <c r="K30" i="11" s="1"/>
  <c r="H31" i="11"/>
  <c r="I31" i="11" s="1"/>
  <c r="Z22" i="11"/>
  <c r="AA22" i="11" s="1"/>
  <c r="V24" i="11"/>
  <c r="W24" i="11" s="1"/>
  <c r="AB21" i="11"/>
  <c r="AC21" i="11" s="1"/>
  <c r="D33" i="11"/>
  <c r="E33" i="11" s="1"/>
  <c r="P27" i="11"/>
  <c r="Q27" i="11" s="1"/>
  <c r="Z21" i="10"/>
  <c r="AA21" i="10" s="1"/>
  <c r="H30" i="10"/>
  <c r="I30" i="10" s="1"/>
  <c r="T24" i="10"/>
  <c r="U24" i="10" s="1"/>
  <c r="R25" i="10"/>
  <c r="S25" i="10" s="1"/>
  <c r="V23" i="10"/>
  <c r="W23" i="10" s="1"/>
  <c r="F31" i="10"/>
  <c r="G31" i="10" s="1"/>
  <c r="AD19" i="10"/>
  <c r="AE19" i="10" s="1"/>
  <c r="P26" i="10"/>
  <c r="Q26" i="10" s="1"/>
  <c r="L28" i="10"/>
  <c r="M28" i="10" s="1"/>
  <c r="N27" i="10"/>
  <c r="O27" i="10" s="1"/>
  <c r="X22" i="10"/>
  <c r="Y22" i="10" s="1"/>
  <c r="AF18" i="10"/>
  <c r="AG18" i="10" s="1"/>
  <c r="J29" i="10"/>
  <c r="K29" i="10" s="1"/>
  <c r="AB20" i="10"/>
  <c r="AC20" i="10" s="1"/>
  <c r="B35" i="10"/>
  <c r="C35" i="10" s="1"/>
  <c r="D33" i="10"/>
  <c r="E33" i="10" s="1"/>
  <c r="V25" i="11" l="1"/>
  <c r="W25" i="11" s="1"/>
  <c r="L30" i="11"/>
  <c r="M30" i="11" s="1"/>
  <c r="D34" i="11"/>
  <c r="E34" i="11" s="1"/>
  <c r="Z23" i="11"/>
  <c r="AA23" i="11" s="1"/>
  <c r="R27" i="11"/>
  <c r="S27" i="11" s="1"/>
  <c r="X24" i="11"/>
  <c r="Y24" i="11" s="1"/>
  <c r="T26" i="11"/>
  <c r="U26" i="11" s="1"/>
  <c r="H32" i="11"/>
  <c r="I32" i="11" s="1"/>
  <c r="F33" i="11"/>
  <c r="G33" i="11" s="1"/>
  <c r="B35" i="11"/>
  <c r="C35" i="11" s="1"/>
  <c r="P28" i="11"/>
  <c r="Q28" i="11" s="1"/>
  <c r="AB22" i="11"/>
  <c r="AC22" i="11" s="1"/>
  <c r="AF20" i="11"/>
  <c r="AG20" i="11" s="1"/>
  <c r="J31" i="11"/>
  <c r="K31" i="11" s="1"/>
  <c r="N29" i="11"/>
  <c r="O29" i="11" s="1"/>
  <c r="AD21" i="11"/>
  <c r="AE21" i="11" s="1"/>
  <c r="D34" i="10"/>
  <c r="E34" i="10" s="1"/>
  <c r="R26" i="10"/>
  <c r="S26" i="10" s="1"/>
  <c r="AD20" i="10"/>
  <c r="AE20" i="10" s="1"/>
  <c r="T25" i="10"/>
  <c r="U25" i="10" s="1"/>
  <c r="P27" i="10"/>
  <c r="Q27" i="10" s="1"/>
  <c r="AF19" i="10"/>
  <c r="AG19" i="10" s="1"/>
  <c r="F32" i="10"/>
  <c r="G32" i="10" s="1"/>
  <c r="H31" i="10"/>
  <c r="I31" i="10" s="1"/>
  <c r="B36" i="10"/>
  <c r="C36" i="10" s="1"/>
  <c r="L29" i="10"/>
  <c r="M29" i="10" s="1"/>
  <c r="V24" i="10"/>
  <c r="W24" i="10" s="1"/>
  <c r="Z22" i="10"/>
  <c r="AA22" i="10" s="1"/>
  <c r="N28" i="10"/>
  <c r="O28" i="10" s="1"/>
  <c r="J30" i="10"/>
  <c r="K30" i="10" s="1"/>
  <c r="AB21" i="10"/>
  <c r="AC21" i="10" s="1"/>
  <c r="X23" i="10"/>
  <c r="Y23" i="10" s="1"/>
  <c r="AB23" i="11" l="1"/>
  <c r="AC23" i="11" s="1"/>
  <c r="Z24" i="11"/>
  <c r="AA24" i="11" s="1"/>
  <c r="N30" i="11"/>
  <c r="O30" i="11" s="1"/>
  <c r="P29" i="11"/>
  <c r="Q29" i="11" s="1"/>
  <c r="T27" i="11"/>
  <c r="U27" i="11" s="1"/>
  <c r="D35" i="11"/>
  <c r="E35" i="11" s="1"/>
  <c r="AD22" i="11"/>
  <c r="AE22" i="11" s="1"/>
  <c r="J32" i="11"/>
  <c r="K32" i="11" s="1"/>
  <c r="X25" i="11"/>
  <c r="Y25" i="11" s="1"/>
  <c r="L31" i="11"/>
  <c r="M31" i="11" s="1"/>
  <c r="H33" i="11"/>
  <c r="I33" i="11" s="1"/>
  <c r="B36" i="11"/>
  <c r="C36" i="11" s="1"/>
  <c r="AF21" i="11"/>
  <c r="AG21" i="11" s="1"/>
  <c r="F34" i="11"/>
  <c r="G34" i="11" s="1"/>
  <c r="R28" i="11"/>
  <c r="S28" i="11" s="1"/>
  <c r="V26" i="11"/>
  <c r="W26" i="11" s="1"/>
  <c r="AD21" i="10"/>
  <c r="AE21" i="10" s="1"/>
  <c r="T26" i="10"/>
  <c r="U26" i="10" s="1"/>
  <c r="AB22" i="10"/>
  <c r="AC22" i="10" s="1"/>
  <c r="Z23" i="10"/>
  <c r="AA23" i="10" s="1"/>
  <c r="H32" i="10"/>
  <c r="I32" i="10" s="1"/>
  <c r="R27" i="10"/>
  <c r="S27" i="10" s="1"/>
  <c r="L30" i="10"/>
  <c r="M30" i="10" s="1"/>
  <c r="B37" i="10"/>
  <c r="C37" i="10" s="1"/>
  <c r="V25" i="10"/>
  <c r="W25" i="10" s="1"/>
  <c r="P28" i="10"/>
  <c r="Q28" i="10" s="1"/>
  <c r="D35" i="10"/>
  <c r="E35" i="10" s="1"/>
  <c r="AF20" i="10"/>
  <c r="AG20" i="10" s="1"/>
  <c r="X24" i="10"/>
  <c r="Y24" i="10" s="1"/>
  <c r="J31" i="10"/>
  <c r="K31" i="10" s="1"/>
  <c r="N29" i="10"/>
  <c r="O29" i="10" s="1"/>
  <c r="F33" i="10"/>
  <c r="G33" i="10" s="1"/>
  <c r="V27" i="11" l="1"/>
  <c r="W27" i="11" s="1"/>
  <c r="J33" i="11"/>
  <c r="K33" i="11" s="1"/>
  <c r="R29" i="11"/>
  <c r="S29" i="11" s="1"/>
  <c r="H34" i="11"/>
  <c r="I34" i="11" s="1"/>
  <c r="AD23" i="11"/>
  <c r="AE23" i="11" s="1"/>
  <c r="N31" i="11"/>
  <c r="O31" i="11" s="1"/>
  <c r="B37" i="11"/>
  <c r="C37" i="11" s="1"/>
  <c r="F35" i="11"/>
  <c r="G35" i="11" s="1"/>
  <c r="D36" i="11"/>
  <c r="E36" i="11" s="1"/>
  <c r="Z25" i="11"/>
  <c r="AA25" i="11" s="1"/>
  <c r="P30" i="11"/>
  <c r="Q30" i="11" s="1"/>
  <c r="L32" i="11"/>
  <c r="M32" i="11" s="1"/>
  <c r="AF22" i="11"/>
  <c r="AG22" i="11" s="1"/>
  <c r="X26" i="11"/>
  <c r="Y26" i="11" s="1"/>
  <c r="T28" i="11"/>
  <c r="U28" i="11" s="1"/>
  <c r="AB24" i="11"/>
  <c r="AC24" i="11" s="1"/>
  <c r="AB23" i="10"/>
  <c r="AC23" i="10" s="1"/>
  <c r="Z24" i="10"/>
  <c r="AA24" i="10" s="1"/>
  <c r="L31" i="10"/>
  <c r="M31" i="10" s="1"/>
  <c r="X25" i="10"/>
  <c r="Y25" i="10" s="1"/>
  <c r="P29" i="10"/>
  <c r="Q29" i="10" s="1"/>
  <c r="R28" i="10"/>
  <c r="S28" i="10" s="1"/>
  <c r="T27" i="10"/>
  <c r="U27" i="10" s="1"/>
  <c r="B38" i="10"/>
  <c r="C38" i="10" s="1"/>
  <c r="D36" i="10"/>
  <c r="E36" i="10" s="1"/>
  <c r="V26" i="10"/>
  <c r="W26" i="10" s="1"/>
  <c r="H33" i="10"/>
  <c r="I33" i="10" s="1"/>
  <c r="AD22" i="10"/>
  <c r="AE22" i="10" s="1"/>
  <c r="J32" i="10"/>
  <c r="K32" i="10" s="1"/>
  <c r="F34" i="10"/>
  <c r="G34" i="10" s="1"/>
  <c r="AF21" i="10"/>
  <c r="AG21" i="10" s="1"/>
  <c r="N30" i="10"/>
  <c r="O30" i="10" s="1"/>
  <c r="L33" i="11" l="1"/>
  <c r="M33" i="11" s="1"/>
  <c r="F36" i="11"/>
  <c r="G36" i="11" s="1"/>
  <c r="T29" i="11"/>
  <c r="U29" i="11" s="1"/>
  <c r="P31" i="11"/>
  <c r="Q31" i="11" s="1"/>
  <c r="B38" i="11"/>
  <c r="C38" i="11" s="1"/>
  <c r="R30" i="11"/>
  <c r="S30" i="11" s="1"/>
  <c r="X27" i="11"/>
  <c r="Y27" i="11" s="1"/>
  <c r="N32" i="11"/>
  <c r="O32" i="11" s="1"/>
  <c r="J34" i="11"/>
  <c r="K34" i="11" s="1"/>
  <c r="AB25" i="11"/>
  <c r="AC25" i="11" s="1"/>
  <c r="H35" i="11"/>
  <c r="I35" i="11" s="1"/>
  <c r="Z26" i="11"/>
  <c r="AA26" i="11" s="1"/>
  <c r="AF23" i="11"/>
  <c r="AG23" i="11" s="1"/>
  <c r="D37" i="11"/>
  <c r="E37" i="11" s="1"/>
  <c r="AD24" i="11"/>
  <c r="AE24" i="11" s="1"/>
  <c r="V28" i="11"/>
  <c r="W28" i="11" s="1"/>
  <c r="B39" i="10"/>
  <c r="C39" i="10" s="1"/>
  <c r="D37" i="10"/>
  <c r="E37" i="10" s="1"/>
  <c r="AF22" i="10"/>
  <c r="AG22" i="10" s="1"/>
  <c r="F35" i="10"/>
  <c r="G35" i="10" s="1"/>
  <c r="H34" i="10"/>
  <c r="I34" i="10" s="1"/>
  <c r="T28" i="10"/>
  <c r="U28" i="10" s="1"/>
  <c r="Z25" i="10"/>
  <c r="AA25" i="10" s="1"/>
  <c r="AD23" i="10"/>
  <c r="AE23" i="10" s="1"/>
  <c r="V27" i="10"/>
  <c r="W27" i="10" s="1"/>
  <c r="R29" i="10"/>
  <c r="S29" i="10" s="1"/>
  <c r="AB24" i="10"/>
  <c r="AC24" i="10" s="1"/>
  <c r="X26" i="10"/>
  <c r="Y26" i="10" s="1"/>
  <c r="J33" i="10"/>
  <c r="K33" i="10" s="1"/>
  <c r="N31" i="10"/>
  <c r="O31" i="10" s="1"/>
  <c r="P30" i="10"/>
  <c r="Q30" i="10" s="1"/>
  <c r="L32" i="10"/>
  <c r="M32" i="10" s="1"/>
  <c r="D38" i="11" l="1"/>
  <c r="E38" i="11" s="1"/>
  <c r="J35" i="11"/>
  <c r="K35" i="11" s="1"/>
  <c r="B39" i="11"/>
  <c r="C39" i="11" s="1"/>
  <c r="V29" i="11"/>
  <c r="W29" i="11" s="1"/>
  <c r="Z27" i="11"/>
  <c r="AA27" i="11" s="1"/>
  <c r="N33" i="11"/>
  <c r="O33" i="11" s="1"/>
  <c r="P32" i="11"/>
  <c r="Q32" i="11" s="1"/>
  <c r="AD25" i="11"/>
  <c r="AE25" i="11" s="1"/>
  <c r="H36" i="11"/>
  <c r="I36" i="11" s="1"/>
  <c r="X28" i="11"/>
  <c r="Y28" i="11" s="1"/>
  <c r="T30" i="11"/>
  <c r="U30" i="11" s="1"/>
  <c r="AB26" i="11"/>
  <c r="AC26" i="11" s="1"/>
  <c r="R31" i="11"/>
  <c r="S31" i="11" s="1"/>
  <c r="F37" i="11"/>
  <c r="G37" i="11" s="1"/>
  <c r="AF24" i="11"/>
  <c r="AG24" i="11" s="1"/>
  <c r="L34" i="11"/>
  <c r="M34" i="11" s="1"/>
  <c r="AB25" i="10"/>
  <c r="AC25" i="10" s="1"/>
  <c r="AF23" i="10"/>
  <c r="AG23" i="10" s="1"/>
  <c r="Z26" i="10"/>
  <c r="AA26" i="10" s="1"/>
  <c r="L33" i="10"/>
  <c r="M33" i="10" s="1"/>
  <c r="T29" i="10"/>
  <c r="U29" i="10" s="1"/>
  <c r="J34" i="10"/>
  <c r="K34" i="10" s="1"/>
  <c r="V28" i="10"/>
  <c r="W28" i="10" s="1"/>
  <c r="D38" i="10"/>
  <c r="E38" i="10" s="1"/>
  <c r="F36" i="10"/>
  <c r="G36" i="10" s="1"/>
  <c r="R30" i="10"/>
  <c r="S30" i="10" s="1"/>
  <c r="X27" i="10"/>
  <c r="Y27" i="10" s="1"/>
  <c r="AD24" i="10"/>
  <c r="AE24" i="10" s="1"/>
  <c r="B40" i="10"/>
  <c r="C40" i="10" s="1"/>
  <c r="N32" i="10"/>
  <c r="O32" i="10" s="1"/>
  <c r="P31" i="10"/>
  <c r="Q31" i="10" s="1"/>
  <c r="H35" i="10"/>
  <c r="I35" i="10" s="1"/>
  <c r="T31" i="11" l="1"/>
  <c r="U31" i="11" s="1"/>
  <c r="P33" i="11"/>
  <c r="Q33" i="11" s="1"/>
  <c r="F38" i="11"/>
  <c r="G38" i="11" s="1"/>
  <c r="X29" i="11"/>
  <c r="Y29" i="11" s="1"/>
  <c r="N34" i="11"/>
  <c r="O34" i="11" s="1"/>
  <c r="H37" i="11"/>
  <c r="I37" i="11" s="1"/>
  <c r="Z28" i="11"/>
  <c r="AA28" i="11" s="1"/>
  <c r="J36" i="11"/>
  <c r="K36" i="11" s="1"/>
  <c r="AF25" i="11"/>
  <c r="AG25" i="11" s="1"/>
  <c r="R32" i="11"/>
  <c r="S32" i="11" s="1"/>
  <c r="L35" i="11"/>
  <c r="M35" i="11" s="1"/>
  <c r="AB27" i="11"/>
  <c r="AC27" i="11" s="1"/>
  <c r="AD26" i="11"/>
  <c r="AE26" i="11" s="1"/>
  <c r="V30" i="11"/>
  <c r="W30" i="11" s="1"/>
  <c r="D39" i="11"/>
  <c r="E39" i="11" s="1"/>
  <c r="B40" i="11"/>
  <c r="C40" i="11" s="1"/>
  <c r="Z27" i="10"/>
  <c r="AA27" i="10" s="1"/>
  <c r="AD25" i="10"/>
  <c r="AE25" i="10" s="1"/>
  <c r="J35" i="10"/>
  <c r="K35" i="10" s="1"/>
  <c r="H36" i="10"/>
  <c r="I36" i="10" s="1"/>
  <c r="D39" i="10"/>
  <c r="E39" i="10" s="1"/>
  <c r="AF24" i="10"/>
  <c r="AG24" i="10" s="1"/>
  <c r="L34" i="10"/>
  <c r="M34" i="10" s="1"/>
  <c r="P32" i="10"/>
  <c r="Q32" i="10" s="1"/>
  <c r="R31" i="10"/>
  <c r="S31" i="10" s="1"/>
  <c r="AB26" i="10"/>
  <c r="AC26" i="10" s="1"/>
  <c r="N33" i="10"/>
  <c r="O33" i="10" s="1"/>
  <c r="B41" i="10"/>
  <c r="C41" i="10" s="1"/>
  <c r="X28" i="10"/>
  <c r="Y28" i="10" s="1"/>
  <c r="F37" i="10"/>
  <c r="G37" i="10" s="1"/>
  <c r="V29" i="10"/>
  <c r="W29" i="10" s="1"/>
  <c r="T30" i="10"/>
  <c r="U30" i="10" s="1"/>
  <c r="L36" i="11" l="1"/>
  <c r="M36" i="11" s="1"/>
  <c r="Z29" i="11"/>
  <c r="AA29" i="11" s="1"/>
  <c r="V31" i="11"/>
  <c r="W31" i="11" s="1"/>
  <c r="R33" i="11"/>
  <c r="S33" i="11" s="1"/>
  <c r="H38" i="11"/>
  <c r="I38" i="11" s="1"/>
  <c r="AD27" i="11"/>
  <c r="AE27" i="11" s="1"/>
  <c r="N35" i="11"/>
  <c r="O35" i="11" s="1"/>
  <c r="P34" i="11"/>
  <c r="Q34" i="11" s="1"/>
  <c r="D40" i="11"/>
  <c r="E40" i="11" s="1"/>
  <c r="AF26" i="11"/>
  <c r="AG26" i="11" s="1"/>
  <c r="AB28" i="11"/>
  <c r="AC28" i="11" s="1"/>
  <c r="J37" i="11"/>
  <c r="K37" i="11" s="1"/>
  <c r="X30" i="11"/>
  <c r="Y30" i="11" s="1"/>
  <c r="T32" i="11"/>
  <c r="U32" i="11" s="1"/>
  <c r="B41" i="11"/>
  <c r="C41" i="11" s="1"/>
  <c r="F39" i="11"/>
  <c r="G39" i="11" s="1"/>
  <c r="B42" i="10"/>
  <c r="C42" i="10" s="1"/>
  <c r="P33" i="10"/>
  <c r="Q33" i="10" s="1"/>
  <c r="V30" i="10"/>
  <c r="W30" i="10" s="1"/>
  <c r="N34" i="10"/>
  <c r="O34" i="10" s="1"/>
  <c r="T31" i="10"/>
  <c r="U31" i="10" s="1"/>
  <c r="F38" i="10"/>
  <c r="G38" i="10" s="1"/>
  <c r="AB27" i="10"/>
  <c r="AC27" i="10" s="1"/>
  <c r="AD26" i="10"/>
  <c r="AE26" i="10" s="1"/>
  <c r="X29" i="10"/>
  <c r="Y29" i="10" s="1"/>
  <c r="R32" i="10"/>
  <c r="S32" i="10" s="1"/>
  <c r="H37" i="10"/>
  <c r="I37" i="10" s="1"/>
  <c r="Z28" i="10"/>
  <c r="AA28" i="10" s="1"/>
  <c r="AF25" i="10"/>
  <c r="AG25" i="10" s="1"/>
  <c r="L35" i="10"/>
  <c r="M35" i="10" s="1"/>
  <c r="D40" i="10"/>
  <c r="E40" i="10" s="1"/>
  <c r="J36" i="10"/>
  <c r="K36" i="10" s="1"/>
  <c r="D41" i="11" l="1"/>
  <c r="E41" i="11" s="1"/>
  <c r="P35" i="11"/>
  <c r="Q35" i="11" s="1"/>
  <c r="L37" i="11"/>
  <c r="M37" i="11" s="1"/>
  <c r="AB29" i="11"/>
  <c r="AC29" i="11" s="1"/>
  <c r="N36" i="11"/>
  <c r="O36" i="11" s="1"/>
  <c r="R34" i="11"/>
  <c r="S34" i="11" s="1"/>
  <c r="T33" i="11"/>
  <c r="U33" i="11" s="1"/>
  <c r="AF27" i="11"/>
  <c r="AG27" i="11" s="1"/>
  <c r="AD28" i="11"/>
  <c r="AE28" i="11" s="1"/>
  <c r="V32" i="11"/>
  <c r="W32" i="11" s="1"/>
  <c r="X31" i="11"/>
  <c r="Y31" i="11" s="1"/>
  <c r="Z30" i="11"/>
  <c r="AA30" i="11" s="1"/>
  <c r="J38" i="11"/>
  <c r="K38" i="11" s="1"/>
  <c r="F40" i="11"/>
  <c r="G40" i="11" s="1"/>
  <c r="B42" i="11"/>
  <c r="C42" i="11" s="1"/>
  <c r="H39" i="11"/>
  <c r="I39" i="11" s="1"/>
  <c r="AF26" i="10"/>
  <c r="AG26" i="10" s="1"/>
  <c r="J37" i="10"/>
  <c r="K37" i="10" s="1"/>
  <c r="AB28" i="10"/>
  <c r="AC28" i="10" s="1"/>
  <c r="V31" i="10"/>
  <c r="W31" i="10" s="1"/>
  <c r="N35" i="10"/>
  <c r="O35" i="10" s="1"/>
  <c r="X30" i="10"/>
  <c r="Y30" i="10" s="1"/>
  <c r="F39" i="10"/>
  <c r="G39" i="10" s="1"/>
  <c r="P34" i="10"/>
  <c r="Q34" i="10" s="1"/>
  <c r="D41" i="10"/>
  <c r="E41" i="10" s="1"/>
  <c r="L36" i="10"/>
  <c r="M36" i="10" s="1"/>
  <c r="H38" i="10"/>
  <c r="I38" i="10" s="1"/>
  <c r="T32" i="10"/>
  <c r="U32" i="10" s="1"/>
  <c r="B43" i="10"/>
  <c r="C43" i="10" s="1"/>
  <c r="AD27" i="10"/>
  <c r="AE27" i="10" s="1"/>
  <c r="Z29" i="10"/>
  <c r="AA29" i="10" s="1"/>
  <c r="R33" i="10"/>
  <c r="S33" i="10" s="1"/>
  <c r="Z31" i="11" l="1"/>
  <c r="AA31" i="11" s="1"/>
  <c r="AB30" i="11"/>
  <c r="AC30" i="11" s="1"/>
  <c r="X32" i="11"/>
  <c r="Y32" i="11" s="1"/>
  <c r="T34" i="11"/>
  <c r="U34" i="11" s="1"/>
  <c r="L38" i="11"/>
  <c r="M38" i="11" s="1"/>
  <c r="R35" i="11"/>
  <c r="S35" i="11" s="1"/>
  <c r="P36" i="11"/>
  <c r="Q36" i="11" s="1"/>
  <c r="AF28" i="11"/>
  <c r="AG28" i="11" s="1"/>
  <c r="V33" i="11"/>
  <c r="W33" i="11" s="1"/>
  <c r="AD29" i="11"/>
  <c r="AE29" i="11" s="1"/>
  <c r="N37" i="11"/>
  <c r="O37" i="11" s="1"/>
  <c r="D42" i="11"/>
  <c r="E42" i="11" s="1"/>
  <c r="H40" i="11"/>
  <c r="I40" i="11" s="1"/>
  <c r="F41" i="11"/>
  <c r="G41" i="11" s="1"/>
  <c r="F42" i="11" s="1"/>
  <c r="B43" i="11"/>
  <c r="C43" i="11" s="1"/>
  <c r="J39" i="11"/>
  <c r="K39" i="11" s="1"/>
  <c r="P35" i="10"/>
  <c r="Q35" i="10" s="1"/>
  <c r="F40" i="10"/>
  <c r="G40" i="10" s="1"/>
  <c r="T33" i="10"/>
  <c r="U33" i="10" s="1"/>
  <c r="V32" i="10"/>
  <c r="W32" i="10" s="1"/>
  <c r="H39" i="10"/>
  <c r="I39" i="10" s="1"/>
  <c r="AB29" i="10"/>
  <c r="AC29" i="10" s="1"/>
  <c r="L37" i="10"/>
  <c r="M37" i="10" s="1"/>
  <c r="X31" i="10"/>
  <c r="Y31" i="10" s="1"/>
  <c r="J38" i="10"/>
  <c r="K38" i="10" s="1"/>
  <c r="B44" i="10"/>
  <c r="C44" i="10" s="1"/>
  <c r="D42" i="10"/>
  <c r="E42" i="10" s="1"/>
  <c r="N36" i="10"/>
  <c r="O36" i="10" s="1"/>
  <c r="AF27" i="10"/>
  <c r="AG27" i="10" s="1"/>
  <c r="R34" i="10"/>
  <c r="S34" i="10" s="1"/>
  <c r="AD28" i="10"/>
  <c r="AE28" i="10" s="1"/>
  <c r="Z30" i="10"/>
  <c r="AA30" i="10" s="1"/>
  <c r="AF29" i="11" l="1"/>
  <c r="AG29" i="11" s="1"/>
  <c r="T35" i="11"/>
  <c r="U35" i="11" s="1"/>
  <c r="N38" i="11"/>
  <c r="O38" i="11" s="1"/>
  <c r="P37" i="11"/>
  <c r="Q37" i="11" s="1"/>
  <c r="X33" i="11"/>
  <c r="Y33" i="11" s="1"/>
  <c r="R36" i="11"/>
  <c r="S36" i="11" s="1"/>
  <c r="AB31" i="11"/>
  <c r="AC31" i="11" s="1"/>
  <c r="D43" i="11"/>
  <c r="E43" i="11" s="1"/>
  <c r="AD30" i="11"/>
  <c r="AE30" i="11" s="1"/>
  <c r="V34" i="11"/>
  <c r="W34" i="11" s="1"/>
  <c r="L39" i="11"/>
  <c r="M39" i="11" s="1"/>
  <c r="Z32" i="11"/>
  <c r="AA32" i="11" s="1"/>
  <c r="J40" i="11"/>
  <c r="K40" i="11" s="1"/>
  <c r="B44" i="11"/>
  <c r="C44" i="11" s="1"/>
  <c r="H41" i="11"/>
  <c r="I41" i="11" s="1"/>
  <c r="G42" i="11"/>
  <c r="L38" i="10"/>
  <c r="M38" i="10" s="1"/>
  <c r="B45" i="10"/>
  <c r="C45" i="10" s="1"/>
  <c r="AB30" i="10"/>
  <c r="AC30" i="10" s="1"/>
  <c r="T34" i="10"/>
  <c r="U34" i="10" s="1"/>
  <c r="J39" i="10"/>
  <c r="K39" i="10" s="1"/>
  <c r="H40" i="10"/>
  <c r="I40" i="10" s="1"/>
  <c r="F41" i="10"/>
  <c r="G41" i="10" s="1"/>
  <c r="D43" i="10"/>
  <c r="E43" i="10" s="1"/>
  <c r="R35" i="10"/>
  <c r="S35" i="10" s="1"/>
  <c r="AF28" i="10"/>
  <c r="AG28" i="10" s="1"/>
  <c r="N37" i="10"/>
  <c r="O37" i="10" s="1"/>
  <c r="X32" i="10"/>
  <c r="Y32" i="10" s="1"/>
  <c r="P36" i="10"/>
  <c r="Q36" i="10" s="1"/>
  <c r="Z31" i="10"/>
  <c r="AA31" i="10" s="1"/>
  <c r="V33" i="10"/>
  <c r="W33" i="10" s="1"/>
  <c r="AD29" i="10"/>
  <c r="AE29" i="10" s="1"/>
  <c r="AB32" i="11" l="1"/>
  <c r="AC32" i="11" s="1"/>
  <c r="H42" i="11"/>
  <c r="I42" i="11" s="1"/>
  <c r="V35" i="11"/>
  <c r="W35" i="11" s="1"/>
  <c r="R37" i="11"/>
  <c r="S37" i="11" s="1"/>
  <c r="Z33" i="11"/>
  <c r="AA33" i="11" s="1"/>
  <c r="X34" i="11"/>
  <c r="Y34" i="11" s="1"/>
  <c r="T36" i="11"/>
  <c r="U36" i="11" s="1"/>
  <c r="AD31" i="11"/>
  <c r="AE31" i="11" s="1"/>
  <c r="D44" i="11"/>
  <c r="E44" i="11" s="1"/>
  <c r="P38" i="11"/>
  <c r="Q38" i="11" s="1"/>
  <c r="AF30" i="11"/>
  <c r="AG30" i="11" s="1"/>
  <c r="F43" i="11"/>
  <c r="G43" i="11" s="1"/>
  <c r="B45" i="11"/>
  <c r="C45" i="11" s="1"/>
  <c r="L40" i="11"/>
  <c r="M40" i="11" s="1"/>
  <c r="N39" i="11"/>
  <c r="O39" i="11" s="1"/>
  <c r="J41" i="11"/>
  <c r="K41" i="11" s="1"/>
  <c r="D44" i="10"/>
  <c r="E44" i="10" s="1"/>
  <c r="F42" i="10"/>
  <c r="G42" i="10" s="1"/>
  <c r="X33" i="10"/>
  <c r="Y33" i="10" s="1"/>
  <c r="T35" i="10"/>
  <c r="U35" i="10" s="1"/>
  <c r="N38" i="10"/>
  <c r="O38" i="10" s="1"/>
  <c r="AB31" i="10"/>
  <c r="AC31" i="10" s="1"/>
  <c r="Z32" i="10"/>
  <c r="AA32" i="10" s="1"/>
  <c r="AF29" i="10"/>
  <c r="AG29" i="10" s="1"/>
  <c r="H41" i="10"/>
  <c r="I41" i="10" s="1"/>
  <c r="B46" i="10"/>
  <c r="C46" i="10" s="1"/>
  <c r="P37" i="10"/>
  <c r="Q37" i="10" s="1"/>
  <c r="R36" i="10"/>
  <c r="S36" i="10" s="1"/>
  <c r="J40" i="10"/>
  <c r="K40" i="10" s="1"/>
  <c r="L39" i="10"/>
  <c r="M39" i="10" s="1"/>
  <c r="AD30" i="10"/>
  <c r="AE30" i="10" s="1"/>
  <c r="V34" i="10"/>
  <c r="W34" i="10" s="1"/>
  <c r="AF31" i="11" l="1"/>
  <c r="AG31" i="11" s="1"/>
  <c r="R38" i="11"/>
  <c r="S38" i="11" s="1"/>
  <c r="T37" i="11"/>
  <c r="U37" i="11" s="1"/>
  <c r="V36" i="11"/>
  <c r="W36" i="11" s="1"/>
  <c r="X35" i="11"/>
  <c r="Y35" i="11" s="1"/>
  <c r="H43" i="11"/>
  <c r="I43" i="11" s="1"/>
  <c r="AD32" i="11"/>
  <c r="AE32" i="11" s="1"/>
  <c r="D45" i="11"/>
  <c r="E45" i="11" s="1"/>
  <c r="Z34" i="11"/>
  <c r="AA34" i="11" s="1"/>
  <c r="AB33" i="11"/>
  <c r="AC33" i="11" s="1"/>
  <c r="L41" i="11"/>
  <c r="M41" i="11" s="1"/>
  <c r="F44" i="11"/>
  <c r="G44" i="11" s="1"/>
  <c r="P39" i="11"/>
  <c r="Q39" i="11" s="1"/>
  <c r="N40" i="11"/>
  <c r="O40" i="11" s="1"/>
  <c r="B46" i="11"/>
  <c r="C46" i="11" s="1"/>
  <c r="J42" i="11"/>
  <c r="K42" i="11" s="1"/>
  <c r="T36" i="10"/>
  <c r="U36" i="10" s="1"/>
  <c r="L40" i="10"/>
  <c r="M40" i="10" s="1"/>
  <c r="B47" i="10"/>
  <c r="C47" i="10" s="1"/>
  <c r="X34" i="10"/>
  <c r="Y34" i="10" s="1"/>
  <c r="V35" i="10"/>
  <c r="W35" i="10" s="1"/>
  <c r="H42" i="10"/>
  <c r="I42" i="10" s="1"/>
  <c r="AB32" i="10"/>
  <c r="AC32" i="10" s="1"/>
  <c r="F43" i="10"/>
  <c r="G43" i="10" s="1"/>
  <c r="P38" i="10"/>
  <c r="Q38" i="10" s="1"/>
  <c r="J41" i="10"/>
  <c r="K41" i="10" s="1"/>
  <c r="R37" i="10"/>
  <c r="S37" i="10" s="1"/>
  <c r="AF30" i="10"/>
  <c r="AG30" i="10" s="1"/>
  <c r="N39" i="10"/>
  <c r="O39" i="10" s="1"/>
  <c r="D45" i="10"/>
  <c r="E45" i="10" s="1"/>
  <c r="AD31" i="10"/>
  <c r="AE31" i="10" s="1"/>
  <c r="Z33" i="10"/>
  <c r="AA33" i="10" s="1"/>
  <c r="L42" i="11" l="1"/>
  <c r="M42" i="11" s="1"/>
  <c r="T38" i="11"/>
  <c r="U38" i="11" s="1"/>
  <c r="AB34" i="11"/>
  <c r="AC34" i="11" s="1"/>
  <c r="H44" i="11"/>
  <c r="I44" i="11" s="1"/>
  <c r="Z35" i="11"/>
  <c r="AA35" i="11" s="1"/>
  <c r="X36" i="11"/>
  <c r="Y36" i="11" s="1"/>
  <c r="AD33" i="11"/>
  <c r="AE33" i="11" s="1"/>
  <c r="D46" i="11"/>
  <c r="E46" i="11" s="1"/>
  <c r="V37" i="11"/>
  <c r="W37" i="11" s="1"/>
  <c r="AF32" i="11"/>
  <c r="AG32" i="11" s="1"/>
  <c r="R39" i="11"/>
  <c r="S39" i="11" s="1"/>
  <c r="N41" i="11"/>
  <c r="O41" i="11" s="1"/>
  <c r="J43" i="11"/>
  <c r="K43" i="11" s="1"/>
  <c r="F45" i="11"/>
  <c r="G45" i="11" s="1"/>
  <c r="B47" i="11"/>
  <c r="C47" i="11" s="1"/>
  <c r="P40" i="11"/>
  <c r="Q40" i="11" s="1"/>
  <c r="AF31" i="10"/>
  <c r="AG31" i="10" s="1"/>
  <c r="R38" i="10"/>
  <c r="S38" i="10" s="1"/>
  <c r="AB33" i="10"/>
  <c r="AC33" i="10" s="1"/>
  <c r="B48" i="10"/>
  <c r="C48" i="10" s="1"/>
  <c r="X35" i="10"/>
  <c r="Y35" i="10" s="1"/>
  <c r="J42" i="10"/>
  <c r="K42" i="10" s="1"/>
  <c r="H43" i="10"/>
  <c r="I43" i="10" s="1"/>
  <c r="L41" i="10"/>
  <c r="M41" i="10" s="1"/>
  <c r="F44" i="10"/>
  <c r="G44" i="10" s="1"/>
  <c r="D46" i="10"/>
  <c r="E46" i="10" s="1"/>
  <c r="N40" i="10"/>
  <c r="O40" i="10" s="1"/>
  <c r="P39" i="10"/>
  <c r="Q39" i="10" s="1"/>
  <c r="V36" i="10"/>
  <c r="W36" i="10" s="1"/>
  <c r="T37" i="10"/>
  <c r="U37" i="10" s="1"/>
  <c r="Z34" i="10"/>
  <c r="AA34" i="10" s="1"/>
  <c r="AD32" i="10"/>
  <c r="AE32" i="10" s="1"/>
  <c r="AF33" i="11" l="1"/>
  <c r="AG33" i="11" s="1"/>
  <c r="X37" i="11"/>
  <c r="Y37" i="11" s="1"/>
  <c r="T39" i="11"/>
  <c r="U39" i="11" s="1"/>
  <c r="P41" i="11"/>
  <c r="Q41" i="11" s="1"/>
  <c r="V38" i="11"/>
  <c r="W38" i="11" s="1"/>
  <c r="Z36" i="11"/>
  <c r="AA36" i="11" s="1"/>
  <c r="L43" i="11"/>
  <c r="M43" i="11" s="1"/>
  <c r="D47" i="11"/>
  <c r="E47" i="11" s="1"/>
  <c r="H45" i="11"/>
  <c r="I45" i="11" s="1"/>
  <c r="AD34" i="11"/>
  <c r="AE34" i="11" s="1"/>
  <c r="AB35" i="11"/>
  <c r="AC35" i="11" s="1"/>
  <c r="F46" i="11"/>
  <c r="G46" i="11" s="1"/>
  <c r="N42" i="11"/>
  <c r="O42" i="11" s="1"/>
  <c r="B48" i="11"/>
  <c r="C48" i="11" s="1"/>
  <c r="J44" i="11"/>
  <c r="K44" i="11" s="1"/>
  <c r="R40" i="11"/>
  <c r="S40" i="11" s="1"/>
  <c r="L42" i="10"/>
  <c r="M42" i="10" s="1"/>
  <c r="Z35" i="10"/>
  <c r="AA35" i="10" s="1"/>
  <c r="H44" i="10"/>
  <c r="I44" i="10" s="1"/>
  <c r="P40" i="10"/>
  <c r="Q40" i="10" s="1"/>
  <c r="B49" i="10"/>
  <c r="C49" i="10" s="1"/>
  <c r="N41" i="10"/>
  <c r="O41" i="10" s="1"/>
  <c r="AB34" i="10"/>
  <c r="AC34" i="10" s="1"/>
  <c r="T38" i="10"/>
  <c r="U38" i="10" s="1"/>
  <c r="D47" i="10"/>
  <c r="E47" i="10" s="1"/>
  <c r="J43" i="10"/>
  <c r="K43" i="10" s="1"/>
  <c r="R39" i="10"/>
  <c r="S39" i="10" s="1"/>
  <c r="V37" i="10"/>
  <c r="W37" i="10" s="1"/>
  <c r="F45" i="10"/>
  <c r="G45" i="10" s="1"/>
  <c r="X36" i="10"/>
  <c r="Y36" i="10" s="1"/>
  <c r="AF32" i="10"/>
  <c r="AG32" i="10" s="1"/>
  <c r="AD33" i="10"/>
  <c r="AE33" i="10" s="1"/>
  <c r="L44" i="11" l="1"/>
  <c r="M44" i="11" s="1"/>
  <c r="AD35" i="11"/>
  <c r="AE35" i="11" s="1"/>
  <c r="Z37" i="11"/>
  <c r="AA37" i="11" s="1"/>
  <c r="T40" i="11"/>
  <c r="U40" i="11" s="1"/>
  <c r="AB36" i="11"/>
  <c r="AC36" i="11" s="1"/>
  <c r="H46" i="11"/>
  <c r="I46" i="11" s="1"/>
  <c r="X38" i="11"/>
  <c r="Y38" i="11" s="1"/>
  <c r="P42" i="11"/>
  <c r="Q42" i="11" s="1"/>
  <c r="D48" i="11"/>
  <c r="E48" i="11" s="1"/>
  <c r="AF34" i="11"/>
  <c r="AG34" i="11" s="1"/>
  <c r="R41" i="11"/>
  <c r="S41" i="11" s="1"/>
  <c r="B49" i="11"/>
  <c r="C49" i="11" s="1"/>
  <c r="F47" i="11"/>
  <c r="G47" i="11" s="1"/>
  <c r="J45" i="11"/>
  <c r="K45" i="11" s="1"/>
  <c r="N43" i="11"/>
  <c r="O43" i="11" s="1"/>
  <c r="V39" i="11"/>
  <c r="W39" i="11" s="1"/>
  <c r="V38" i="10"/>
  <c r="W38" i="10" s="1"/>
  <c r="P41" i="10"/>
  <c r="Q41" i="10" s="1"/>
  <c r="AB35" i="10"/>
  <c r="AC35" i="10" s="1"/>
  <c r="T39" i="10"/>
  <c r="U39" i="10" s="1"/>
  <c r="AF33" i="10"/>
  <c r="AG33" i="10" s="1"/>
  <c r="R40" i="10"/>
  <c r="S40" i="10" s="1"/>
  <c r="H45" i="10"/>
  <c r="I45" i="10" s="1"/>
  <c r="X37" i="10"/>
  <c r="Y37" i="10" s="1"/>
  <c r="J44" i="10"/>
  <c r="K44" i="10" s="1"/>
  <c r="N42" i="10"/>
  <c r="O42" i="10" s="1"/>
  <c r="Z36" i="10"/>
  <c r="AA36" i="10" s="1"/>
  <c r="F46" i="10"/>
  <c r="G46" i="10" s="1"/>
  <c r="D48" i="10"/>
  <c r="E48" i="10" s="1"/>
  <c r="B50" i="10"/>
  <c r="C50" i="10" s="1"/>
  <c r="L43" i="10"/>
  <c r="M43" i="10" s="1"/>
  <c r="AD34" i="10"/>
  <c r="AE34" i="10" s="1"/>
  <c r="P43" i="11" l="1"/>
  <c r="Q43" i="11" s="1"/>
  <c r="T41" i="11"/>
  <c r="U41" i="11" s="1"/>
  <c r="X39" i="11"/>
  <c r="Y39" i="11" s="1"/>
  <c r="Z38" i="11"/>
  <c r="AA38" i="11" s="1"/>
  <c r="H47" i="11"/>
  <c r="I47" i="11" s="1"/>
  <c r="AD36" i="11"/>
  <c r="AE36" i="11" s="1"/>
  <c r="AF35" i="11"/>
  <c r="AG35" i="11" s="1"/>
  <c r="D49" i="11"/>
  <c r="E49" i="11" s="1"/>
  <c r="AB37" i="11"/>
  <c r="AC37" i="11" s="1"/>
  <c r="L45" i="11"/>
  <c r="M45" i="11" s="1"/>
  <c r="F48" i="11"/>
  <c r="G48" i="11" s="1"/>
  <c r="V40" i="11"/>
  <c r="W40" i="11" s="1"/>
  <c r="J46" i="11"/>
  <c r="K46" i="11" s="1"/>
  <c r="B50" i="11"/>
  <c r="C50" i="11" s="1"/>
  <c r="N44" i="11"/>
  <c r="O44" i="11" s="1"/>
  <c r="R42" i="11"/>
  <c r="S42" i="11" s="1"/>
  <c r="F47" i="10"/>
  <c r="G47" i="10" s="1"/>
  <c r="H46" i="10"/>
  <c r="I46" i="10" s="1"/>
  <c r="AB36" i="10"/>
  <c r="AC36" i="10" s="1"/>
  <c r="X38" i="10"/>
  <c r="Y38" i="10" s="1"/>
  <c r="L44" i="10"/>
  <c r="M44" i="10" s="1"/>
  <c r="B51" i="10"/>
  <c r="C51" i="10" s="1"/>
  <c r="N43" i="10"/>
  <c r="O43" i="10" s="1"/>
  <c r="R41" i="10"/>
  <c r="S41" i="10" s="1"/>
  <c r="P42" i="10"/>
  <c r="Q42" i="10" s="1"/>
  <c r="AD35" i="10"/>
  <c r="AE35" i="10" s="1"/>
  <c r="T40" i="10"/>
  <c r="U40" i="10" s="1"/>
  <c r="Z37" i="10"/>
  <c r="AA37" i="10" s="1"/>
  <c r="D49" i="10"/>
  <c r="E49" i="10" s="1"/>
  <c r="J45" i="10"/>
  <c r="K45" i="10" s="1"/>
  <c r="AF34" i="10"/>
  <c r="AG34" i="10" s="1"/>
  <c r="V39" i="10"/>
  <c r="W39" i="10" s="1"/>
  <c r="AF36" i="11" l="1"/>
  <c r="AG36" i="11" s="1"/>
  <c r="L46" i="11"/>
  <c r="M46" i="11" s="1"/>
  <c r="AD37" i="11"/>
  <c r="AE37" i="11" s="1"/>
  <c r="X40" i="11"/>
  <c r="Y40" i="11" s="1"/>
  <c r="AB38" i="11"/>
  <c r="AC38" i="11" s="1"/>
  <c r="T42" i="11"/>
  <c r="U42" i="11" s="1"/>
  <c r="H48" i="11"/>
  <c r="I48" i="11" s="1"/>
  <c r="D50" i="11"/>
  <c r="E50" i="11" s="1"/>
  <c r="P44" i="11"/>
  <c r="Q44" i="11" s="1"/>
  <c r="R43" i="11"/>
  <c r="S43" i="11" s="1"/>
  <c r="N45" i="11"/>
  <c r="O45" i="11" s="1"/>
  <c r="B51" i="11"/>
  <c r="C51" i="11" s="1"/>
  <c r="V41" i="11"/>
  <c r="W41" i="11" s="1"/>
  <c r="Z39" i="11"/>
  <c r="AA39" i="11" s="1"/>
  <c r="J47" i="11"/>
  <c r="K47" i="11" s="1"/>
  <c r="F49" i="11"/>
  <c r="G49" i="11" s="1"/>
  <c r="V40" i="10"/>
  <c r="W40" i="10" s="1"/>
  <c r="AF35" i="10"/>
  <c r="AG35" i="10" s="1"/>
  <c r="AB37" i="10"/>
  <c r="AC37" i="10" s="1"/>
  <c r="Z38" i="10"/>
  <c r="AA38" i="10" s="1"/>
  <c r="X39" i="10"/>
  <c r="Y39" i="10" s="1"/>
  <c r="N44" i="10"/>
  <c r="O44" i="10" s="1"/>
  <c r="J46" i="10"/>
  <c r="K46" i="10" s="1"/>
  <c r="AD36" i="10"/>
  <c r="AE36" i="10" s="1"/>
  <c r="B52" i="10"/>
  <c r="C52" i="10" s="1"/>
  <c r="H47" i="10"/>
  <c r="I47" i="10" s="1"/>
  <c r="R42" i="10"/>
  <c r="S42" i="10" s="1"/>
  <c r="T41" i="10"/>
  <c r="U41" i="10" s="1"/>
  <c r="D50" i="10"/>
  <c r="E50" i="10" s="1"/>
  <c r="P43" i="10"/>
  <c r="Q43" i="10" s="1"/>
  <c r="L45" i="10"/>
  <c r="M45" i="10" s="1"/>
  <c r="F48" i="10"/>
  <c r="G48" i="10" s="1"/>
  <c r="D51" i="11" l="1"/>
  <c r="E51" i="11" s="1"/>
  <c r="X41" i="11"/>
  <c r="Y41" i="11" s="1"/>
  <c r="H49" i="11"/>
  <c r="I49" i="11" s="1"/>
  <c r="AD38" i="11"/>
  <c r="AE38" i="11" s="1"/>
  <c r="L47" i="11"/>
  <c r="M47" i="11" s="1"/>
  <c r="T43" i="11"/>
  <c r="U43" i="11" s="1"/>
  <c r="P45" i="11"/>
  <c r="Q45" i="11" s="1"/>
  <c r="AB39" i="11"/>
  <c r="AC39" i="11" s="1"/>
  <c r="AF37" i="11"/>
  <c r="AG37" i="11" s="1"/>
  <c r="B52" i="11"/>
  <c r="C52" i="11" s="1"/>
  <c r="R44" i="11"/>
  <c r="S44" i="11" s="1"/>
  <c r="F50" i="11"/>
  <c r="G50" i="11" s="1"/>
  <c r="Z40" i="11"/>
  <c r="AA40" i="11" s="1"/>
  <c r="J48" i="11"/>
  <c r="K48" i="11" s="1"/>
  <c r="V42" i="11"/>
  <c r="W42" i="11" s="1"/>
  <c r="N46" i="11"/>
  <c r="O46" i="11" s="1"/>
  <c r="T42" i="10"/>
  <c r="U42" i="10" s="1"/>
  <c r="J47" i="10"/>
  <c r="K47" i="10" s="1"/>
  <c r="AB38" i="10"/>
  <c r="AC38" i="10" s="1"/>
  <c r="Z39" i="10"/>
  <c r="AA39" i="10" s="1"/>
  <c r="R43" i="10"/>
  <c r="S43" i="10" s="1"/>
  <c r="P44" i="10"/>
  <c r="Q44" i="10" s="1"/>
  <c r="H48" i="10"/>
  <c r="I48" i="10" s="1"/>
  <c r="N45" i="10"/>
  <c r="O45" i="10" s="1"/>
  <c r="AF36" i="10"/>
  <c r="AG36" i="10" s="1"/>
  <c r="F49" i="10"/>
  <c r="G49" i="10" s="1"/>
  <c r="AD37" i="10"/>
  <c r="AE37" i="10" s="1"/>
  <c r="L46" i="10"/>
  <c r="M46" i="10" s="1"/>
  <c r="D51" i="10"/>
  <c r="E51" i="10" s="1"/>
  <c r="B53" i="10"/>
  <c r="C53" i="10" s="1"/>
  <c r="X40" i="10"/>
  <c r="Y40" i="10" s="1"/>
  <c r="V41" i="10"/>
  <c r="W41" i="10" s="1"/>
  <c r="P46" i="11" l="1"/>
  <c r="Q46" i="11" s="1"/>
  <c r="T44" i="11"/>
  <c r="U44" i="11" s="1"/>
  <c r="H50" i="11"/>
  <c r="I50" i="11" s="1"/>
  <c r="AF38" i="11"/>
  <c r="AG38" i="11" s="1"/>
  <c r="X42" i="11"/>
  <c r="Y42" i="11" s="1"/>
  <c r="L48" i="11"/>
  <c r="M48" i="11" s="1"/>
  <c r="AB40" i="11"/>
  <c r="AC40" i="11" s="1"/>
  <c r="D52" i="11"/>
  <c r="E52" i="11" s="1"/>
  <c r="N47" i="11"/>
  <c r="O47" i="11" s="1"/>
  <c r="J49" i="11"/>
  <c r="K49" i="11" s="1"/>
  <c r="F51" i="11"/>
  <c r="G51" i="11" s="1"/>
  <c r="B53" i="11"/>
  <c r="C53" i="11" s="1"/>
  <c r="AD39" i="11"/>
  <c r="AE39" i="11" s="1"/>
  <c r="V43" i="11"/>
  <c r="W43" i="11" s="1"/>
  <c r="Z41" i="11"/>
  <c r="AA41" i="11" s="1"/>
  <c r="R45" i="11"/>
  <c r="S45" i="11" s="1"/>
  <c r="V42" i="10"/>
  <c r="W42" i="10" s="1"/>
  <c r="AB39" i="10"/>
  <c r="AC39" i="10" s="1"/>
  <c r="L47" i="10"/>
  <c r="M47" i="10" s="1"/>
  <c r="Z40" i="10"/>
  <c r="AA40" i="10" s="1"/>
  <c r="AD38" i="10"/>
  <c r="AE38" i="10" s="1"/>
  <c r="B54" i="10"/>
  <c r="C54" i="10" s="1"/>
  <c r="F50" i="10"/>
  <c r="G50" i="10" s="1"/>
  <c r="P45" i="10"/>
  <c r="Q45" i="10" s="1"/>
  <c r="J48" i="10"/>
  <c r="K48" i="10" s="1"/>
  <c r="N46" i="10"/>
  <c r="O46" i="10" s="1"/>
  <c r="X41" i="10"/>
  <c r="Y41" i="10" s="1"/>
  <c r="H49" i="10"/>
  <c r="I49" i="10" s="1"/>
  <c r="D52" i="10"/>
  <c r="E52" i="10" s="1"/>
  <c r="AF37" i="10"/>
  <c r="AG37" i="10" s="1"/>
  <c r="R44" i="10"/>
  <c r="S44" i="10" s="1"/>
  <c r="T43" i="10"/>
  <c r="U43" i="10" s="1"/>
  <c r="AB41" i="11" l="1"/>
  <c r="AC41" i="11" s="1"/>
  <c r="L49" i="11"/>
  <c r="M49" i="11" s="1"/>
  <c r="H51" i="11"/>
  <c r="I51" i="11" s="1"/>
  <c r="T45" i="11"/>
  <c r="U45" i="11" s="1"/>
  <c r="X43" i="11"/>
  <c r="Y43" i="11" s="1"/>
  <c r="D53" i="11"/>
  <c r="E53" i="11" s="1"/>
  <c r="P47" i="11"/>
  <c r="Q47" i="11" s="1"/>
  <c r="R46" i="11"/>
  <c r="S46" i="11" s="1"/>
  <c r="B54" i="11"/>
  <c r="C54" i="11" s="1"/>
  <c r="F52" i="11"/>
  <c r="G52" i="11" s="1"/>
  <c r="V44" i="11"/>
  <c r="W44" i="11" s="1"/>
  <c r="J50" i="11"/>
  <c r="K50" i="11" s="1"/>
  <c r="AF39" i="11"/>
  <c r="AG39" i="11" s="1"/>
  <c r="Z42" i="11"/>
  <c r="AA42" i="11" s="1"/>
  <c r="AD40" i="11"/>
  <c r="AE40" i="11" s="1"/>
  <c r="N48" i="11"/>
  <c r="O48" i="11" s="1"/>
  <c r="P46" i="10"/>
  <c r="Q46" i="10" s="1"/>
  <c r="R45" i="10"/>
  <c r="S45" i="10" s="1"/>
  <c r="X42" i="10"/>
  <c r="Y42" i="10" s="1"/>
  <c r="F51" i="10"/>
  <c r="G51" i="10" s="1"/>
  <c r="L48" i="10"/>
  <c r="M48" i="10" s="1"/>
  <c r="T44" i="10"/>
  <c r="U44" i="10" s="1"/>
  <c r="AF38" i="10"/>
  <c r="AG38" i="10" s="1"/>
  <c r="B55" i="10"/>
  <c r="C55" i="10" s="1"/>
  <c r="AB40" i="10"/>
  <c r="AC40" i="10" s="1"/>
  <c r="H50" i="10"/>
  <c r="I50" i="10" s="1"/>
  <c r="Z41" i="10"/>
  <c r="AA41" i="10" s="1"/>
  <c r="N47" i="10"/>
  <c r="O47" i="10" s="1"/>
  <c r="D53" i="10"/>
  <c r="E53" i="10" s="1"/>
  <c r="J49" i="10"/>
  <c r="K49" i="10" s="1"/>
  <c r="AD39" i="10"/>
  <c r="AE39" i="10" s="1"/>
  <c r="V43" i="10"/>
  <c r="W43" i="10" s="1"/>
  <c r="T46" i="11" l="1"/>
  <c r="U46" i="11" s="1"/>
  <c r="P48" i="11"/>
  <c r="Q48" i="11" s="1"/>
  <c r="H52" i="11"/>
  <c r="I52" i="11" s="1"/>
  <c r="L50" i="11"/>
  <c r="M50" i="11" s="1"/>
  <c r="D54" i="11"/>
  <c r="E54" i="11" s="1"/>
  <c r="X44" i="11"/>
  <c r="Y44" i="11" s="1"/>
  <c r="AB42" i="11"/>
  <c r="AC42" i="11" s="1"/>
  <c r="N49" i="11"/>
  <c r="O49" i="11" s="1"/>
  <c r="F53" i="11"/>
  <c r="G53" i="11" s="1"/>
  <c r="J51" i="11"/>
  <c r="K51" i="11" s="1"/>
  <c r="R47" i="11"/>
  <c r="S47" i="11" s="1"/>
  <c r="AF40" i="11"/>
  <c r="AG40" i="11" s="1"/>
  <c r="Z43" i="11"/>
  <c r="AA43" i="11" s="1"/>
  <c r="AD41" i="11"/>
  <c r="AE41" i="11" s="1"/>
  <c r="V45" i="11"/>
  <c r="W45" i="11" s="1"/>
  <c r="B55" i="11"/>
  <c r="C55" i="11" s="1"/>
  <c r="V44" i="10"/>
  <c r="W44" i="10" s="1"/>
  <c r="Z42" i="10"/>
  <c r="AA42" i="10" s="1"/>
  <c r="X43" i="10"/>
  <c r="Y43" i="10" s="1"/>
  <c r="B56" i="10"/>
  <c r="C56" i="10" s="1"/>
  <c r="AD40" i="10"/>
  <c r="AE40" i="10" s="1"/>
  <c r="J50" i="10"/>
  <c r="K50" i="10" s="1"/>
  <c r="H51" i="10"/>
  <c r="I51" i="10" s="1"/>
  <c r="T45" i="10"/>
  <c r="U45" i="10" s="1"/>
  <c r="R46" i="10"/>
  <c r="S46" i="10" s="1"/>
  <c r="N48" i="10"/>
  <c r="O48" i="10" s="1"/>
  <c r="F52" i="10"/>
  <c r="G52" i="10" s="1"/>
  <c r="AF39" i="10"/>
  <c r="AG39" i="10" s="1"/>
  <c r="D54" i="10"/>
  <c r="E54" i="10" s="1"/>
  <c r="AB41" i="10"/>
  <c r="AC41" i="10" s="1"/>
  <c r="L49" i="10"/>
  <c r="M49" i="10" s="1"/>
  <c r="P47" i="10"/>
  <c r="Q47" i="10" s="1"/>
  <c r="AF41" i="11" l="1"/>
  <c r="AG41" i="11" s="1"/>
  <c r="L51" i="11"/>
  <c r="M51" i="11" s="1"/>
  <c r="AB43" i="11"/>
  <c r="AC43" i="11" s="1"/>
  <c r="H53" i="11"/>
  <c r="I53" i="11" s="1"/>
  <c r="P49" i="11"/>
  <c r="Q49" i="11" s="1"/>
  <c r="X45" i="11"/>
  <c r="Y45" i="11" s="1"/>
  <c r="D55" i="11"/>
  <c r="E55" i="11" s="1"/>
  <c r="T47" i="11"/>
  <c r="U47" i="11" s="1"/>
  <c r="J52" i="11"/>
  <c r="K52" i="11" s="1"/>
  <c r="N50" i="11"/>
  <c r="O50" i="11" s="1"/>
  <c r="Z44" i="11"/>
  <c r="AA44" i="11" s="1"/>
  <c r="F54" i="11"/>
  <c r="G54" i="11" s="1"/>
  <c r="B56" i="11"/>
  <c r="C56" i="11" s="1"/>
  <c r="AD42" i="11"/>
  <c r="AE42" i="11" s="1"/>
  <c r="V46" i="11"/>
  <c r="W46" i="11" s="1"/>
  <c r="R48" i="11"/>
  <c r="S48" i="11" s="1"/>
  <c r="P48" i="10"/>
  <c r="Q48" i="10" s="1"/>
  <c r="B57" i="10"/>
  <c r="C57" i="10" s="1"/>
  <c r="H52" i="10"/>
  <c r="I52" i="10" s="1"/>
  <c r="X44" i="10"/>
  <c r="Y44" i="10" s="1"/>
  <c r="T46" i="10"/>
  <c r="U46" i="10" s="1"/>
  <c r="F53" i="10"/>
  <c r="G53" i="10" s="1"/>
  <c r="AB42" i="10"/>
  <c r="AC42" i="10" s="1"/>
  <c r="N49" i="10"/>
  <c r="O49" i="10" s="1"/>
  <c r="J51" i="10"/>
  <c r="K51" i="10" s="1"/>
  <c r="Z43" i="10"/>
  <c r="AA43" i="10" s="1"/>
  <c r="AF40" i="10"/>
  <c r="AG40" i="10" s="1"/>
  <c r="L50" i="10"/>
  <c r="M50" i="10" s="1"/>
  <c r="D55" i="10"/>
  <c r="E55" i="10" s="1"/>
  <c r="R47" i="10"/>
  <c r="S47" i="10" s="1"/>
  <c r="AD41" i="10"/>
  <c r="AE41" i="10" s="1"/>
  <c r="V45" i="10"/>
  <c r="W45" i="10" s="1"/>
  <c r="T48" i="11" l="1"/>
  <c r="U48" i="11" s="1"/>
  <c r="H54" i="11"/>
  <c r="I54" i="11" s="1"/>
  <c r="D56" i="11"/>
  <c r="E56" i="11" s="1"/>
  <c r="AB44" i="11"/>
  <c r="AC44" i="11" s="1"/>
  <c r="L52" i="11"/>
  <c r="M52" i="11" s="1"/>
  <c r="X46" i="11"/>
  <c r="Y46" i="11" s="1"/>
  <c r="P50" i="11"/>
  <c r="Q50" i="11" s="1"/>
  <c r="AF42" i="11"/>
  <c r="AG42" i="11" s="1"/>
  <c r="V47" i="11"/>
  <c r="W47" i="11" s="1"/>
  <c r="R49" i="11"/>
  <c r="S49" i="11" s="1"/>
  <c r="AD43" i="11"/>
  <c r="AE43" i="11" s="1"/>
  <c r="F55" i="11"/>
  <c r="G55" i="11" s="1"/>
  <c r="N51" i="11"/>
  <c r="O51" i="11" s="1"/>
  <c r="B57" i="11"/>
  <c r="C57" i="11" s="1"/>
  <c r="Z45" i="11"/>
  <c r="AA45" i="11" s="1"/>
  <c r="J53" i="11"/>
  <c r="K53" i="11" s="1"/>
  <c r="AF41" i="10"/>
  <c r="AG41" i="10" s="1"/>
  <c r="L51" i="10"/>
  <c r="M51" i="10" s="1"/>
  <c r="X45" i="10"/>
  <c r="Y45" i="10" s="1"/>
  <c r="AB43" i="10"/>
  <c r="AC43" i="10" s="1"/>
  <c r="R48" i="10"/>
  <c r="S48" i="10" s="1"/>
  <c r="F54" i="10"/>
  <c r="G54" i="10" s="1"/>
  <c r="B58" i="10"/>
  <c r="C58" i="10" s="1"/>
  <c r="V46" i="10"/>
  <c r="W46" i="10" s="1"/>
  <c r="N50" i="10"/>
  <c r="O50" i="10" s="1"/>
  <c r="AD42" i="10"/>
  <c r="AE42" i="10" s="1"/>
  <c r="H53" i="10"/>
  <c r="I53" i="10" s="1"/>
  <c r="Z44" i="10"/>
  <c r="AA44" i="10" s="1"/>
  <c r="D56" i="10"/>
  <c r="E56" i="10" s="1"/>
  <c r="J52" i="10"/>
  <c r="K52" i="10" s="1"/>
  <c r="T47" i="10"/>
  <c r="U47" i="10" s="1"/>
  <c r="P49" i="10"/>
  <c r="Q49" i="10" s="1"/>
  <c r="AB45" i="11" l="1"/>
  <c r="AC45" i="11" s="1"/>
  <c r="P51" i="11"/>
  <c r="Q51" i="11" s="1"/>
  <c r="D57" i="11"/>
  <c r="E57" i="11" s="1"/>
  <c r="H55" i="11"/>
  <c r="I55" i="11" s="1"/>
  <c r="AF43" i="11"/>
  <c r="AG43" i="11" s="1"/>
  <c r="X47" i="11"/>
  <c r="Y47" i="11" s="1"/>
  <c r="L53" i="11"/>
  <c r="M53" i="11" s="1"/>
  <c r="T49" i="11"/>
  <c r="U49" i="11" s="1"/>
  <c r="J54" i="11"/>
  <c r="K54" i="11" s="1"/>
  <c r="B58" i="11"/>
  <c r="C58" i="11" s="1"/>
  <c r="F56" i="11"/>
  <c r="G56" i="11" s="1"/>
  <c r="R50" i="11"/>
  <c r="S50" i="11" s="1"/>
  <c r="Z46" i="11"/>
  <c r="AA46" i="11" s="1"/>
  <c r="N52" i="11"/>
  <c r="O52" i="11" s="1"/>
  <c r="AD44" i="11"/>
  <c r="AE44" i="11" s="1"/>
  <c r="V48" i="11"/>
  <c r="W48" i="11" s="1"/>
  <c r="Z45" i="10"/>
  <c r="AA45" i="10" s="1"/>
  <c r="AB44" i="10"/>
  <c r="AC44" i="10" s="1"/>
  <c r="H54" i="10"/>
  <c r="I54" i="10" s="1"/>
  <c r="B59" i="10"/>
  <c r="C59" i="10" s="1"/>
  <c r="X46" i="10"/>
  <c r="Y46" i="10" s="1"/>
  <c r="P50" i="10"/>
  <c r="Q50" i="10" s="1"/>
  <c r="V47" i="10"/>
  <c r="W47" i="10" s="1"/>
  <c r="T48" i="10"/>
  <c r="U48" i="10" s="1"/>
  <c r="J53" i="10"/>
  <c r="K53" i="10" s="1"/>
  <c r="AD43" i="10"/>
  <c r="AE43" i="10" s="1"/>
  <c r="F55" i="10"/>
  <c r="G55" i="10" s="1"/>
  <c r="L52" i="10"/>
  <c r="M52" i="10" s="1"/>
  <c r="D57" i="10"/>
  <c r="E57" i="10" s="1"/>
  <c r="N51" i="10"/>
  <c r="O51" i="10" s="1"/>
  <c r="R49" i="10"/>
  <c r="S49" i="10" s="1"/>
  <c r="AF42" i="10"/>
  <c r="AG42" i="10" s="1"/>
  <c r="H56" i="11" l="1"/>
  <c r="I56" i="11" s="1"/>
  <c r="L54" i="11"/>
  <c r="M54" i="11" s="1"/>
  <c r="D58" i="11"/>
  <c r="E58" i="11" s="1"/>
  <c r="P52" i="11"/>
  <c r="Q52" i="11" s="1"/>
  <c r="T50" i="11"/>
  <c r="U50" i="11" s="1"/>
  <c r="X48" i="11"/>
  <c r="Y48" i="11" s="1"/>
  <c r="AF44" i="11"/>
  <c r="AG44" i="11" s="1"/>
  <c r="AB46" i="11"/>
  <c r="AC46" i="11" s="1"/>
  <c r="V49" i="11"/>
  <c r="W49" i="11" s="1"/>
  <c r="Z47" i="11"/>
  <c r="AA47" i="11" s="1"/>
  <c r="N53" i="11"/>
  <c r="O53" i="11" s="1"/>
  <c r="R51" i="11"/>
  <c r="S51" i="11" s="1"/>
  <c r="B59" i="11"/>
  <c r="C59" i="11" s="1"/>
  <c r="AD45" i="11"/>
  <c r="AE45" i="11" s="1"/>
  <c r="F57" i="11"/>
  <c r="G57" i="11" s="1"/>
  <c r="J55" i="11"/>
  <c r="K55" i="11" s="1"/>
  <c r="L53" i="10"/>
  <c r="M53" i="10" s="1"/>
  <c r="R50" i="10"/>
  <c r="S50" i="10" s="1"/>
  <c r="F56" i="10"/>
  <c r="G56" i="10" s="1"/>
  <c r="V48" i="10"/>
  <c r="W48" i="10" s="1"/>
  <c r="H55" i="10"/>
  <c r="I55" i="10" s="1"/>
  <c r="T49" i="10"/>
  <c r="U49" i="10" s="1"/>
  <c r="N52" i="10"/>
  <c r="O52" i="10" s="1"/>
  <c r="P51" i="10"/>
  <c r="Q51" i="10" s="1"/>
  <c r="AB45" i="10"/>
  <c r="AC45" i="10" s="1"/>
  <c r="AF43" i="10"/>
  <c r="AG43" i="10" s="1"/>
  <c r="B60" i="10"/>
  <c r="C60" i="10" s="1"/>
  <c r="AD44" i="10"/>
  <c r="AE44" i="10" s="1"/>
  <c r="D58" i="10"/>
  <c r="E58" i="10" s="1"/>
  <c r="J54" i="10"/>
  <c r="K54" i="10" s="1"/>
  <c r="X47" i="10"/>
  <c r="Y47" i="10" s="1"/>
  <c r="Z46" i="10"/>
  <c r="AA46" i="10" s="1"/>
  <c r="AB47" i="11" l="1"/>
  <c r="AC47" i="11" s="1"/>
  <c r="P53" i="11"/>
  <c r="Q53" i="11" s="1"/>
  <c r="AF45" i="11"/>
  <c r="AG45" i="11" s="1"/>
  <c r="D59" i="11"/>
  <c r="E59" i="11" s="1"/>
  <c r="L55" i="11"/>
  <c r="M55" i="11" s="1"/>
  <c r="X49" i="11"/>
  <c r="Y49" i="11" s="1"/>
  <c r="T51" i="11"/>
  <c r="U51" i="11" s="1"/>
  <c r="H57" i="11"/>
  <c r="I57" i="11" s="1"/>
  <c r="J56" i="11"/>
  <c r="K56" i="11" s="1"/>
  <c r="R52" i="11"/>
  <c r="S52" i="11" s="1"/>
  <c r="Z48" i="11"/>
  <c r="AA48" i="11" s="1"/>
  <c r="AD46" i="11"/>
  <c r="AE46" i="11" s="1"/>
  <c r="F58" i="11"/>
  <c r="G58" i="11" s="1"/>
  <c r="B60" i="11"/>
  <c r="C60" i="11" s="1"/>
  <c r="N54" i="11"/>
  <c r="O54" i="11" s="1"/>
  <c r="V50" i="11"/>
  <c r="W50" i="11" s="1"/>
  <c r="Z47" i="10"/>
  <c r="AA47" i="10" s="1"/>
  <c r="B61" i="10"/>
  <c r="C61" i="10" s="1"/>
  <c r="N53" i="10"/>
  <c r="O53" i="10" s="1"/>
  <c r="F57" i="10"/>
  <c r="G57" i="10" s="1"/>
  <c r="AD45" i="10"/>
  <c r="AE45" i="10" s="1"/>
  <c r="V49" i="10"/>
  <c r="W49" i="10" s="1"/>
  <c r="J55" i="10"/>
  <c r="K55" i="10" s="1"/>
  <c r="AF44" i="10"/>
  <c r="AG44" i="10" s="1"/>
  <c r="T50" i="10"/>
  <c r="U50" i="10" s="1"/>
  <c r="R51" i="10"/>
  <c r="S51" i="10" s="1"/>
  <c r="P52" i="10"/>
  <c r="Q52" i="10" s="1"/>
  <c r="X48" i="10"/>
  <c r="Y48" i="10" s="1"/>
  <c r="D59" i="10"/>
  <c r="E59" i="10" s="1"/>
  <c r="AB46" i="10"/>
  <c r="AC46" i="10" s="1"/>
  <c r="H56" i="10"/>
  <c r="I56" i="10" s="1"/>
  <c r="L54" i="10"/>
  <c r="M54" i="10" s="1"/>
  <c r="D60" i="11" l="1"/>
  <c r="E60" i="11" s="1"/>
  <c r="T52" i="11"/>
  <c r="U52" i="11" s="1"/>
  <c r="AF46" i="11"/>
  <c r="AG46" i="11" s="1"/>
  <c r="P54" i="11"/>
  <c r="Q54" i="11" s="1"/>
  <c r="H58" i="11"/>
  <c r="I58" i="11" s="1"/>
  <c r="X50" i="11"/>
  <c r="Y50" i="11" s="1"/>
  <c r="L56" i="11"/>
  <c r="M56" i="11" s="1"/>
  <c r="AB48" i="11"/>
  <c r="AC48" i="11" s="1"/>
  <c r="V51" i="11"/>
  <c r="W51" i="11" s="1"/>
  <c r="AD47" i="11"/>
  <c r="AE47" i="11" s="1"/>
  <c r="R53" i="11"/>
  <c r="S53" i="11" s="1"/>
  <c r="B61" i="11"/>
  <c r="C61" i="11" s="1"/>
  <c r="N55" i="11"/>
  <c r="O55" i="11" s="1"/>
  <c r="F59" i="11"/>
  <c r="G59" i="11" s="1"/>
  <c r="Z49" i="11"/>
  <c r="AA49" i="11" s="1"/>
  <c r="J57" i="11"/>
  <c r="K57" i="11" s="1"/>
  <c r="L55" i="10"/>
  <c r="M55" i="10" s="1"/>
  <c r="X49" i="10"/>
  <c r="Y49" i="10" s="1"/>
  <c r="F58" i="10"/>
  <c r="G58" i="10" s="1"/>
  <c r="P53" i="10"/>
  <c r="Q53" i="10" s="1"/>
  <c r="N54" i="10"/>
  <c r="O54" i="10" s="1"/>
  <c r="AF45" i="10"/>
  <c r="AG45" i="10" s="1"/>
  <c r="H57" i="10"/>
  <c r="I57" i="10" s="1"/>
  <c r="J56" i="10"/>
  <c r="K56" i="10" s="1"/>
  <c r="AB47" i="10"/>
  <c r="AC47" i="10" s="1"/>
  <c r="R52" i="10"/>
  <c r="S52" i="10" s="1"/>
  <c r="V50" i="10"/>
  <c r="W50" i="10" s="1"/>
  <c r="B62" i="10"/>
  <c r="C62" i="10" s="1"/>
  <c r="D60" i="10"/>
  <c r="E60" i="10" s="1"/>
  <c r="T51" i="10"/>
  <c r="U51" i="10" s="1"/>
  <c r="AD46" i="10"/>
  <c r="AE46" i="10" s="1"/>
  <c r="Z48" i="10"/>
  <c r="AA48" i="10" s="1"/>
  <c r="P55" i="11" l="1"/>
  <c r="Q55" i="11" s="1"/>
  <c r="L57" i="11"/>
  <c r="M57" i="11" s="1"/>
  <c r="AF47" i="11"/>
  <c r="AG47" i="11" s="1"/>
  <c r="T53" i="11"/>
  <c r="U53" i="11" s="1"/>
  <c r="AB49" i="11"/>
  <c r="AC49" i="11" s="1"/>
  <c r="X51" i="11"/>
  <c r="Y51" i="11" s="1"/>
  <c r="H59" i="11"/>
  <c r="I59" i="11" s="1"/>
  <c r="D61" i="11"/>
  <c r="E61" i="11" s="1"/>
  <c r="J58" i="11"/>
  <c r="K58" i="11" s="1"/>
  <c r="B62" i="11"/>
  <c r="C62" i="11" s="1"/>
  <c r="AD48" i="11"/>
  <c r="AE48" i="11" s="1"/>
  <c r="Z50" i="11"/>
  <c r="AA50" i="11" s="1"/>
  <c r="N56" i="11"/>
  <c r="O56" i="11" s="1"/>
  <c r="R54" i="11"/>
  <c r="S54" i="11" s="1"/>
  <c r="V52" i="11"/>
  <c r="W52" i="11" s="1"/>
  <c r="F60" i="11"/>
  <c r="G60" i="11" s="1"/>
  <c r="Z49" i="10"/>
  <c r="AA49" i="10" s="1"/>
  <c r="P54" i="10"/>
  <c r="Q54" i="10" s="1"/>
  <c r="V51" i="10"/>
  <c r="W51" i="10" s="1"/>
  <c r="H58" i="10"/>
  <c r="I58" i="10" s="1"/>
  <c r="F59" i="10"/>
  <c r="G59" i="10" s="1"/>
  <c r="B63" i="10"/>
  <c r="C63" i="10" s="1"/>
  <c r="T52" i="10"/>
  <c r="U52" i="10" s="1"/>
  <c r="R53" i="10"/>
  <c r="S53" i="10" s="1"/>
  <c r="AF46" i="10"/>
  <c r="AG46" i="10" s="1"/>
  <c r="X50" i="10"/>
  <c r="Y50" i="10" s="1"/>
  <c r="J57" i="10"/>
  <c r="K57" i="10" s="1"/>
  <c r="AD47" i="10"/>
  <c r="AE47" i="10" s="1"/>
  <c r="D61" i="10"/>
  <c r="E61" i="10" s="1"/>
  <c r="AB48" i="10"/>
  <c r="AC48" i="10" s="1"/>
  <c r="N55" i="10"/>
  <c r="O55" i="10" s="1"/>
  <c r="L56" i="10"/>
  <c r="M56" i="10" s="1"/>
  <c r="T54" i="11" l="1"/>
  <c r="U54" i="11" s="1"/>
  <c r="B63" i="11"/>
  <c r="C63" i="11" s="1"/>
  <c r="H60" i="11"/>
  <c r="I60" i="11" s="1"/>
  <c r="AF48" i="11"/>
  <c r="AG48" i="11" s="1"/>
  <c r="L58" i="11"/>
  <c r="M58" i="11" s="1"/>
  <c r="D62" i="11"/>
  <c r="E62" i="11" s="1"/>
  <c r="X52" i="11"/>
  <c r="Y52" i="11" s="1"/>
  <c r="AB50" i="11"/>
  <c r="AC50" i="11" s="1"/>
  <c r="P56" i="11"/>
  <c r="Q56" i="11" s="1"/>
  <c r="R55" i="11"/>
  <c r="S55" i="11" s="1"/>
  <c r="F61" i="11"/>
  <c r="G61" i="11" s="1"/>
  <c r="Z51" i="11"/>
  <c r="AA51" i="11" s="1"/>
  <c r="N57" i="11"/>
  <c r="O57" i="11" s="1"/>
  <c r="V53" i="11"/>
  <c r="W53" i="11" s="1"/>
  <c r="AD49" i="11"/>
  <c r="AE49" i="11" s="1"/>
  <c r="J59" i="11"/>
  <c r="K59" i="11" s="1"/>
  <c r="H59" i="10"/>
  <c r="I59" i="10" s="1"/>
  <c r="T53" i="10"/>
  <c r="U53" i="10" s="1"/>
  <c r="V52" i="10"/>
  <c r="W52" i="10" s="1"/>
  <c r="AD48" i="10"/>
  <c r="AE48" i="10" s="1"/>
  <c r="J58" i="10"/>
  <c r="K58" i="10" s="1"/>
  <c r="AB49" i="10"/>
  <c r="AC49" i="10" s="1"/>
  <c r="X51" i="10"/>
  <c r="Y51" i="10" s="1"/>
  <c r="B64" i="10"/>
  <c r="C64" i="10" s="1"/>
  <c r="P55" i="10"/>
  <c r="Q55" i="10" s="1"/>
  <c r="L57" i="10"/>
  <c r="M57" i="10" s="1"/>
  <c r="R54" i="10"/>
  <c r="S54" i="10" s="1"/>
  <c r="N56" i="10"/>
  <c r="O56" i="10" s="1"/>
  <c r="D62" i="10"/>
  <c r="E62" i="10" s="1"/>
  <c r="AF47" i="10"/>
  <c r="AG47" i="10" s="1"/>
  <c r="F60" i="10"/>
  <c r="G60" i="10" s="1"/>
  <c r="Z50" i="10"/>
  <c r="AA50" i="10" s="1"/>
  <c r="AF49" i="11" l="1"/>
  <c r="AG49" i="11" s="1"/>
  <c r="X53" i="11"/>
  <c r="Y53" i="11" s="1"/>
  <c r="H61" i="11"/>
  <c r="I61" i="11" s="1"/>
  <c r="D63" i="11"/>
  <c r="E63" i="11" s="1"/>
  <c r="B64" i="11"/>
  <c r="C64" i="11" s="1"/>
  <c r="AB51" i="11"/>
  <c r="AC51" i="11" s="1"/>
  <c r="P57" i="11"/>
  <c r="Q57" i="11" s="1"/>
  <c r="L59" i="11"/>
  <c r="M59" i="11" s="1"/>
  <c r="T55" i="11"/>
  <c r="U55" i="11" s="1"/>
  <c r="J60" i="11"/>
  <c r="K60" i="11" s="1"/>
  <c r="Z52" i="11"/>
  <c r="AA52" i="11" s="1"/>
  <c r="R56" i="11"/>
  <c r="S56" i="11" s="1"/>
  <c r="N58" i="11"/>
  <c r="O58" i="11" s="1"/>
  <c r="V54" i="11"/>
  <c r="W54" i="11" s="1"/>
  <c r="AD50" i="11"/>
  <c r="AE50" i="11" s="1"/>
  <c r="F62" i="11"/>
  <c r="G62" i="11" s="1"/>
  <c r="F61" i="10"/>
  <c r="G61" i="10" s="1"/>
  <c r="X52" i="10"/>
  <c r="Y52" i="10" s="1"/>
  <c r="AF48" i="10"/>
  <c r="AG48" i="10" s="1"/>
  <c r="L58" i="10"/>
  <c r="M58" i="10" s="1"/>
  <c r="T54" i="10"/>
  <c r="U54" i="10" s="1"/>
  <c r="R55" i="10"/>
  <c r="S55" i="10" s="1"/>
  <c r="V53" i="10"/>
  <c r="W53" i="10" s="1"/>
  <c r="AB50" i="10"/>
  <c r="AC50" i="10" s="1"/>
  <c r="D63" i="10"/>
  <c r="E63" i="10" s="1"/>
  <c r="P56" i="10"/>
  <c r="Q56" i="10" s="1"/>
  <c r="J59" i="10"/>
  <c r="K59" i="10" s="1"/>
  <c r="Z51" i="10"/>
  <c r="AA51" i="10" s="1"/>
  <c r="N57" i="10"/>
  <c r="O57" i="10" s="1"/>
  <c r="B65" i="10"/>
  <c r="C65" i="10" s="1"/>
  <c r="AD49" i="10"/>
  <c r="AE49" i="10" s="1"/>
  <c r="H60" i="10"/>
  <c r="I60" i="10" s="1"/>
  <c r="L60" i="11" l="1"/>
  <c r="M60" i="11" s="1"/>
  <c r="D64" i="11"/>
  <c r="E64" i="11" s="1"/>
  <c r="P58" i="11"/>
  <c r="Q58" i="11" s="1"/>
  <c r="H62" i="11"/>
  <c r="I62" i="11" s="1"/>
  <c r="F63" i="11"/>
  <c r="G63" i="11" s="1"/>
  <c r="X54" i="11"/>
  <c r="Y54" i="11" s="1"/>
  <c r="AB52" i="11"/>
  <c r="AC52" i="11" s="1"/>
  <c r="T56" i="11"/>
  <c r="U56" i="11" s="1"/>
  <c r="B65" i="11"/>
  <c r="C65" i="11" s="1"/>
  <c r="AF50" i="11"/>
  <c r="AG50" i="11" s="1"/>
  <c r="V55" i="11"/>
  <c r="W55" i="11" s="1"/>
  <c r="R57" i="11"/>
  <c r="S57" i="11" s="1"/>
  <c r="J61" i="11"/>
  <c r="K61" i="11" s="1"/>
  <c r="AD51" i="11"/>
  <c r="AE51" i="11" s="1"/>
  <c r="N59" i="11"/>
  <c r="O59" i="11" s="1"/>
  <c r="Z53" i="11"/>
  <c r="AA53" i="11" s="1"/>
  <c r="AD50" i="10"/>
  <c r="AE50" i="10" s="1"/>
  <c r="P57" i="10"/>
  <c r="Q57" i="10" s="1"/>
  <c r="AF49" i="10"/>
  <c r="AG49" i="10" s="1"/>
  <c r="AB51" i="10"/>
  <c r="AC51" i="10" s="1"/>
  <c r="B66" i="10"/>
  <c r="C66" i="10" s="1"/>
  <c r="V54" i="10"/>
  <c r="W54" i="10" s="1"/>
  <c r="N58" i="10"/>
  <c r="O58" i="10" s="1"/>
  <c r="R56" i="10"/>
  <c r="S56" i="10" s="1"/>
  <c r="X53" i="10"/>
  <c r="Y53" i="10" s="1"/>
  <c r="J60" i="10"/>
  <c r="K60" i="10" s="1"/>
  <c r="L59" i="10"/>
  <c r="M59" i="10" s="1"/>
  <c r="H61" i="10"/>
  <c r="I61" i="10" s="1"/>
  <c r="Z52" i="10"/>
  <c r="AA52" i="10" s="1"/>
  <c r="T55" i="10"/>
  <c r="U55" i="10" s="1"/>
  <c r="F62" i="10"/>
  <c r="G62" i="10" s="1"/>
  <c r="D64" i="10"/>
  <c r="E64" i="10" s="1"/>
  <c r="T57" i="11" l="1"/>
  <c r="U57" i="11" s="1"/>
  <c r="H63" i="11"/>
  <c r="I63" i="11" s="1"/>
  <c r="AB53" i="11"/>
  <c r="AC53" i="11" s="1"/>
  <c r="P59" i="11"/>
  <c r="Q59" i="11" s="1"/>
  <c r="AF51" i="11"/>
  <c r="AG51" i="11" s="1"/>
  <c r="D65" i="11"/>
  <c r="E65" i="11" s="1"/>
  <c r="X55" i="11"/>
  <c r="Y55" i="11" s="1"/>
  <c r="B66" i="11"/>
  <c r="C66" i="11" s="1"/>
  <c r="F64" i="11"/>
  <c r="G64" i="11" s="1"/>
  <c r="L61" i="11"/>
  <c r="M61" i="11" s="1"/>
  <c r="AD52" i="11"/>
  <c r="AE52" i="11" s="1"/>
  <c r="R58" i="11"/>
  <c r="S58" i="11" s="1"/>
  <c r="Z54" i="11"/>
  <c r="AA54" i="11" s="1"/>
  <c r="N60" i="11"/>
  <c r="O60" i="11" s="1"/>
  <c r="J62" i="11"/>
  <c r="K62" i="11" s="1"/>
  <c r="V56" i="11"/>
  <c r="W56" i="11" s="1"/>
  <c r="R57" i="10"/>
  <c r="S57" i="10" s="1"/>
  <c r="AB52" i="10"/>
  <c r="AC52" i="10" s="1"/>
  <c r="F63" i="10"/>
  <c r="G63" i="10" s="1"/>
  <c r="L60" i="10"/>
  <c r="M60" i="10" s="1"/>
  <c r="N59" i="10"/>
  <c r="O59" i="10" s="1"/>
  <c r="AF50" i="10"/>
  <c r="AG50" i="10" s="1"/>
  <c r="T56" i="10"/>
  <c r="U56" i="10" s="1"/>
  <c r="J61" i="10"/>
  <c r="K61" i="10" s="1"/>
  <c r="V55" i="10"/>
  <c r="W55" i="10" s="1"/>
  <c r="P58" i="10"/>
  <c r="Q58" i="10" s="1"/>
  <c r="H62" i="10"/>
  <c r="I62" i="10" s="1"/>
  <c r="Z53" i="10"/>
  <c r="AA53" i="10" s="1"/>
  <c r="X54" i="10"/>
  <c r="Y54" i="10" s="1"/>
  <c r="B67" i="10"/>
  <c r="C67" i="10" s="1"/>
  <c r="AD51" i="10"/>
  <c r="AE51" i="10" s="1"/>
  <c r="D65" i="10"/>
  <c r="E65" i="10" s="1"/>
  <c r="B67" i="11" l="1"/>
  <c r="C67" i="11" s="1"/>
  <c r="P60" i="11"/>
  <c r="Q60" i="11" s="1"/>
  <c r="X56" i="11"/>
  <c r="Y56" i="11" s="1"/>
  <c r="AB54" i="11"/>
  <c r="AC54" i="11" s="1"/>
  <c r="L62" i="11"/>
  <c r="M62" i="11" s="1"/>
  <c r="H64" i="11"/>
  <c r="I64" i="11" s="1"/>
  <c r="D66" i="11"/>
  <c r="E66" i="11" s="1"/>
  <c r="F65" i="11"/>
  <c r="G65" i="11" s="1"/>
  <c r="AF52" i="11"/>
  <c r="AG52" i="11" s="1"/>
  <c r="T58" i="11"/>
  <c r="U58" i="11" s="1"/>
  <c r="V57" i="11"/>
  <c r="W57" i="11" s="1"/>
  <c r="R59" i="11"/>
  <c r="S59" i="11" s="1"/>
  <c r="Z55" i="11"/>
  <c r="AA55" i="11" s="1"/>
  <c r="AD53" i="11"/>
  <c r="AE53" i="11" s="1"/>
  <c r="N61" i="11"/>
  <c r="O61" i="11" s="1"/>
  <c r="J63" i="11"/>
  <c r="K63" i="11" s="1"/>
  <c r="L61" i="10"/>
  <c r="M61" i="10" s="1"/>
  <c r="T57" i="10"/>
  <c r="U57" i="10" s="1"/>
  <c r="F64" i="10"/>
  <c r="G64" i="10" s="1"/>
  <c r="J62" i="10"/>
  <c r="K62" i="10" s="1"/>
  <c r="H63" i="10"/>
  <c r="I63" i="10" s="1"/>
  <c r="B68" i="10"/>
  <c r="C68" i="10" s="1"/>
  <c r="P59" i="10"/>
  <c r="Q59" i="10" s="1"/>
  <c r="AF51" i="10"/>
  <c r="AG51" i="10" s="1"/>
  <c r="AB53" i="10"/>
  <c r="AC53" i="10" s="1"/>
  <c r="Z54" i="10"/>
  <c r="AA54" i="10" s="1"/>
  <c r="AD52" i="10"/>
  <c r="AE52" i="10" s="1"/>
  <c r="X55" i="10"/>
  <c r="Y55" i="10" s="1"/>
  <c r="V56" i="10"/>
  <c r="W56" i="10" s="1"/>
  <c r="N60" i="10"/>
  <c r="O60" i="10" s="1"/>
  <c r="R58" i="10"/>
  <c r="S58" i="10" s="1"/>
  <c r="D66" i="10"/>
  <c r="E66" i="10" s="1"/>
  <c r="F66" i="11" l="1"/>
  <c r="G66" i="11" s="1"/>
  <c r="AB55" i="11"/>
  <c r="AC55" i="11" s="1"/>
  <c r="N62" i="11"/>
  <c r="O62" i="11" s="1"/>
  <c r="D67" i="11"/>
  <c r="E67" i="11" s="1"/>
  <c r="X57" i="11"/>
  <c r="Y57" i="11" s="1"/>
  <c r="H65" i="11"/>
  <c r="I65" i="11" s="1"/>
  <c r="P61" i="11"/>
  <c r="Q61" i="11" s="1"/>
  <c r="J64" i="11"/>
  <c r="K64" i="11" s="1"/>
  <c r="T59" i="11"/>
  <c r="U59" i="11" s="1"/>
  <c r="AF53" i="11"/>
  <c r="AG53" i="11" s="1"/>
  <c r="L63" i="11"/>
  <c r="M63" i="11" s="1"/>
  <c r="B68" i="11"/>
  <c r="C68" i="11" s="1"/>
  <c r="R60" i="11"/>
  <c r="S60" i="11" s="1"/>
  <c r="Z56" i="11"/>
  <c r="AA56" i="11" s="1"/>
  <c r="V58" i="11"/>
  <c r="W58" i="11" s="1"/>
  <c r="AD54" i="11"/>
  <c r="AE54" i="11" s="1"/>
  <c r="J63" i="10"/>
  <c r="K63" i="10" s="1"/>
  <c r="AF52" i="10"/>
  <c r="AG52" i="10" s="1"/>
  <c r="R59" i="10"/>
  <c r="S59" i="10" s="1"/>
  <c r="AD53" i="10"/>
  <c r="AE53" i="10" s="1"/>
  <c r="P60" i="10"/>
  <c r="Q60" i="10" s="1"/>
  <c r="F65" i="10"/>
  <c r="G65" i="10" s="1"/>
  <c r="N61" i="10"/>
  <c r="O61" i="10" s="1"/>
  <c r="Z55" i="10"/>
  <c r="AA55" i="10" s="1"/>
  <c r="B69" i="10"/>
  <c r="C69" i="10" s="1"/>
  <c r="T58" i="10"/>
  <c r="U58" i="10" s="1"/>
  <c r="X56" i="10"/>
  <c r="Y56" i="10" s="1"/>
  <c r="V57" i="10"/>
  <c r="W57" i="10" s="1"/>
  <c r="AB54" i="10"/>
  <c r="AC54" i="10" s="1"/>
  <c r="H64" i="10"/>
  <c r="I64" i="10" s="1"/>
  <c r="L62" i="10"/>
  <c r="M62" i="10" s="1"/>
  <c r="D67" i="10"/>
  <c r="E67" i="10" s="1"/>
  <c r="B69" i="11" l="1"/>
  <c r="C69" i="11" s="1"/>
  <c r="D68" i="11"/>
  <c r="E68" i="11" s="1"/>
  <c r="L64" i="11"/>
  <c r="M64" i="11" s="1"/>
  <c r="P62" i="11"/>
  <c r="Q62" i="11" s="1"/>
  <c r="N63" i="11"/>
  <c r="O63" i="11" s="1"/>
  <c r="H66" i="11"/>
  <c r="I66" i="11" s="1"/>
  <c r="AB56" i="11"/>
  <c r="AC56" i="11" s="1"/>
  <c r="J65" i="11"/>
  <c r="K65" i="11" s="1"/>
  <c r="AF54" i="11"/>
  <c r="AG54" i="11" s="1"/>
  <c r="T60" i="11"/>
  <c r="U60" i="11" s="1"/>
  <c r="X58" i="11"/>
  <c r="Y58" i="11" s="1"/>
  <c r="F67" i="11"/>
  <c r="G67" i="11" s="1"/>
  <c r="Z57" i="11"/>
  <c r="AA57" i="11" s="1"/>
  <c r="V59" i="11"/>
  <c r="W59" i="11" s="1"/>
  <c r="R61" i="11"/>
  <c r="S61" i="11" s="1"/>
  <c r="AD55" i="11"/>
  <c r="AE55" i="11" s="1"/>
  <c r="L63" i="10"/>
  <c r="M63" i="10" s="1"/>
  <c r="V58" i="10"/>
  <c r="W58" i="10" s="1"/>
  <c r="Z56" i="10"/>
  <c r="AA56" i="10" s="1"/>
  <c r="AD54" i="10"/>
  <c r="AE54" i="10" s="1"/>
  <c r="X57" i="10"/>
  <c r="Y57" i="10" s="1"/>
  <c r="N62" i="10"/>
  <c r="O62" i="10" s="1"/>
  <c r="R60" i="10"/>
  <c r="S60" i="10" s="1"/>
  <c r="F66" i="10"/>
  <c r="G66" i="10" s="1"/>
  <c r="AF53" i="10"/>
  <c r="AG53" i="10" s="1"/>
  <c r="T59" i="10"/>
  <c r="U59" i="10" s="1"/>
  <c r="AB55" i="10"/>
  <c r="AC55" i="10" s="1"/>
  <c r="B70" i="10"/>
  <c r="C70" i="10" s="1"/>
  <c r="P61" i="10"/>
  <c r="Q61" i="10" s="1"/>
  <c r="J64" i="10"/>
  <c r="K64" i="10" s="1"/>
  <c r="D68" i="10"/>
  <c r="E68" i="10" s="1"/>
  <c r="H65" i="10"/>
  <c r="I65" i="10" s="1"/>
  <c r="J66" i="11" l="1"/>
  <c r="K66" i="11" s="1"/>
  <c r="P63" i="11"/>
  <c r="Q63" i="11" s="1"/>
  <c r="X59" i="11"/>
  <c r="Y59" i="11" s="1"/>
  <c r="AB57" i="11"/>
  <c r="AC57" i="11" s="1"/>
  <c r="L65" i="11"/>
  <c r="M65" i="11" s="1"/>
  <c r="H67" i="11"/>
  <c r="I67" i="11" s="1"/>
  <c r="D69" i="11"/>
  <c r="E69" i="11" s="1"/>
  <c r="F68" i="11"/>
  <c r="G68" i="11" s="1"/>
  <c r="T61" i="11"/>
  <c r="U61" i="11" s="1"/>
  <c r="R62" i="11"/>
  <c r="S62" i="11" s="1"/>
  <c r="AF55" i="11"/>
  <c r="AG55" i="11" s="1"/>
  <c r="N64" i="11"/>
  <c r="O64" i="11" s="1"/>
  <c r="B70" i="11"/>
  <c r="C70" i="11" s="1"/>
  <c r="Z58" i="11"/>
  <c r="AA58" i="11" s="1"/>
  <c r="AD56" i="11"/>
  <c r="AE56" i="11" s="1"/>
  <c r="V60" i="11"/>
  <c r="W60" i="11" s="1"/>
  <c r="B71" i="10"/>
  <c r="C71" i="10" s="1"/>
  <c r="AB56" i="10"/>
  <c r="AC56" i="10" s="1"/>
  <c r="J65" i="10"/>
  <c r="K65" i="10" s="1"/>
  <c r="D69" i="10"/>
  <c r="E69" i="10" s="1"/>
  <c r="T60" i="10"/>
  <c r="U60" i="10" s="1"/>
  <c r="P62" i="10"/>
  <c r="Q62" i="10" s="1"/>
  <c r="L64" i="10"/>
  <c r="M64" i="10" s="1"/>
  <c r="H66" i="10"/>
  <c r="I66" i="10" s="1"/>
  <c r="F67" i="10"/>
  <c r="G67" i="10" s="1"/>
  <c r="N63" i="10"/>
  <c r="O63" i="10" s="1"/>
  <c r="AD55" i="10"/>
  <c r="AE55" i="10" s="1"/>
  <c r="V59" i="10"/>
  <c r="W59" i="10" s="1"/>
  <c r="AF54" i="10"/>
  <c r="AG54" i="10" s="1"/>
  <c r="R61" i="10"/>
  <c r="S61" i="10" s="1"/>
  <c r="X58" i="10"/>
  <c r="Y58" i="10" s="1"/>
  <c r="Z57" i="10"/>
  <c r="AA57" i="10" s="1"/>
  <c r="F69" i="11" l="1"/>
  <c r="G69" i="11" s="1"/>
  <c r="AB58" i="11"/>
  <c r="AC58" i="11" s="1"/>
  <c r="AF56" i="11"/>
  <c r="AG56" i="11" s="1"/>
  <c r="D70" i="11"/>
  <c r="E70" i="11" s="1"/>
  <c r="X60" i="11"/>
  <c r="Y60" i="11" s="1"/>
  <c r="H68" i="11"/>
  <c r="I68" i="11" s="1"/>
  <c r="P64" i="11"/>
  <c r="Q64" i="11" s="1"/>
  <c r="N65" i="11"/>
  <c r="O65" i="11" s="1"/>
  <c r="R63" i="11"/>
  <c r="S63" i="11" s="1"/>
  <c r="B71" i="11"/>
  <c r="C71" i="11" s="1"/>
  <c r="T62" i="11"/>
  <c r="U62" i="11" s="1"/>
  <c r="L66" i="11"/>
  <c r="M66" i="11" s="1"/>
  <c r="J67" i="11"/>
  <c r="K67" i="11" s="1"/>
  <c r="V61" i="11"/>
  <c r="W61" i="11" s="1"/>
  <c r="Z59" i="11"/>
  <c r="AA59" i="11" s="1"/>
  <c r="AD57" i="11"/>
  <c r="AE57" i="11" s="1"/>
  <c r="AD56" i="10"/>
  <c r="AE56" i="10" s="1"/>
  <c r="AB57" i="10"/>
  <c r="AC57" i="10" s="1"/>
  <c r="N64" i="10"/>
  <c r="O64" i="10" s="1"/>
  <c r="AF55" i="10"/>
  <c r="AG55" i="10" s="1"/>
  <c r="F68" i="10"/>
  <c r="G68" i="10" s="1"/>
  <c r="X59" i="10"/>
  <c r="Y59" i="10" s="1"/>
  <c r="T61" i="10"/>
  <c r="U61" i="10" s="1"/>
  <c r="R62" i="10"/>
  <c r="S62" i="10" s="1"/>
  <c r="B72" i="10"/>
  <c r="C72" i="10" s="1"/>
  <c r="Z58" i="10"/>
  <c r="AA58" i="10" s="1"/>
  <c r="V60" i="10"/>
  <c r="W60" i="10" s="1"/>
  <c r="P63" i="10"/>
  <c r="Q63" i="10" s="1"/>
  <c r="J66" i="10"/>
  <c r="K66" i="10" s="1"/>
  <c r="D70" i="10"/>
  <c r="E70" i="10"/>
  <c r="H67" i="10"/>
  <c r="I67" i="10" s="1"/>
  <c r="L65" i="10"/>
  <c r="M65" i="10" s="1"/>
  <c r="N66" i="11" l="1"/>
  <c r="O66" i="11" s="1"/>
  <c r="D71" i="11"/>
  <c r="E71" i="11" s="1"/>
  <c r="T63" i="11"/>
  <c r="U63" i="11" s="1"/>
  <c r="P65" i="11"/>
  <c r="Q65" i="11" s="1"/>
  <c r="AF57" i="11"/>
  <c r="AG57" i="11" s="1"/>
  <c r="H69" i="11"/>
  <c r="I69" i="11" s="1"/>
  <c r="AB59" i="11"/>
  <c r="AC59" i="11" s="1"/>
  <c r="L67" i="11"/>
  <c r="M67" i="11" s="1"/>
  <c r="B72" i="11"/>
  <c r="C72" i="11" s="1"/>
  <c r="J68" i="11"/>
  <c r="K68" i="11" s="1"/>
  <c r="R64" i="11"/>
  <c r="S64" i="11" s="1"/>
  <c r="X61" i="11"/>
  <c r="Y61" i="11" s="1"/>
  <c r="F70" i="11"/>
  <c r="G70" i="11" s="1"/>
  <c r="Z60" i="11"/>
  <c r="AA60" i="11" s="1"/>
  <c r="AD58" i="11"/>
  <c r="AE58" i="11" s="1"/>
  <c r="V62" i="11"/>
  <c r="W62" i="11" s="1"/>
  <c r="AF56" i="10"/>
  <c r="AG56" i="10" s="1"/>
  <c r="V61" i="10"/>
  <c r="W61" i="10" s="1"/>
  <c r="T62" i="10"/>
  <c r="U62" i="10" s="1"/>
  <c r="N65" i="10"/>
  <c r="O65" i="10" s="1"/>
  <c r="J67" i="10"/>
  <c r="K67" i="10" s="1"/>
  <c r="X60" i="10"/>
  <c r="Y60" i="10" s="1"/>
  <c r="AB58" i="10"/>
  <c r="AC58" i="10" s="1"/>
  <c r="R63" i="10"/>
  <c r="S63" i="10" s="1"/>
  <c r="Z59" i="10"/>
  <c r="AA59" i="10" s="1"/>
  <c r="B73" i="10"/>
  <c r="C73" i="10" s="1"/>
  <c r="F69" i="10"/>
  <c r="G69" i="10" s="1"/>
  <c r="AD57" i="10"/>
  <c r="AE57" i="10" s="1"/>
  <c r="H68" i="10"/>
  <c r="I68" i="10" s="1"/>
  <c r="L66" i="10"/>
  <c r="M66" i="10" s="1"/>
  <c r="D71" i="10"/>
  <c r="E71" i="10" s="1"/>
  <c r="P64" i="10"/>
  <c r="Q64" i="10" s="1"/>
  <c r="X62" i="11" l="1"/>
  <c r="Y62" i="11" s="1"/>
  <c r="L68" i="11"/>
  <c r="M68" i="11" s="1"/>
  <c r="P66" i="11"/>
  <c r="Q66" i="11" s="1"/>
  <c r="R65" i="11"/>
  <c r="S65" i="11" s="1"/>
  <c r="AB60" i="11"/>
  <c r="AC60" i="11" s="1"/>
  <c r="T64" i="11"/>
  <c r="U64" i="11" s="1"/>
  <c r="V63" i="11"/>
  <c r="W63" i="11" s="1"/>
  <c r="J69" i="11"/>
  <c r="K69" i="11" s="1"/>
  <c r="H70" i="11"/>
  <c r="I70" i="11" s="1"/>
  <c r="D72" i="11"/>
  <c r="E72" i="11" s="1"/>
  <c r="F71" i="11"/>
  <c r="G71" i="11" s="1"/>
  <c r="B73" i="11"/>
  <c r="C73" i="11" s="1"/>
  <c r="AF58" i="11"/>
  <c r="AG58" i="11" s="1"/>
  <c r="N67" i="11"/>
  <c r="O67" i="11" s="1"/>
  <c r="Z61" i="11"/>
  <c r="AA61" i="11" s="1"/>
  <c r="AD59" i="11"/>
  <c r="AE59" i="11" s="1"/>
  <c r="AD58" i="10"/>
  <c r="AE58" i="10" s="1"/>
  <c r="R64" i="10"/>
  <c r="S64" i="10" s="1"/>
  <c r="N66" i="10"/>
  <c r="O66" i="10" s="1"/>
  <c r="F70" i="10"/>
  <c r="G70" i="10" s="1"/>
  <c r="AB59" i="10"/>
  <c r="AC59" i="10" s="1"/>
  <c r="T63" i="10"/>
  <c r="U63" i="10" s="1"/>
  <c r="X61" i="10"/>
  <c r="Y61" i="10" s="1"/>
  <c r="V62" i="10"/>
  <c r="W62" i="10" s="1"/>
  <c r="B74" i="10"/>
  <c r="C74" i="10" s="1"/>
  <c r="Z60" i="10"/>
  <c r="AA60" i="10" s="1"/>
  <c r="J68" i="10"/>
  <c r="K68" i="10" s="1"/>
  <c r="AF57" i="10"/>
  <c r="AG57" i="10" s="1"/>
  <c r="P65" i="10"/>
  <c r="Q65" i="10" s="1"/>
  <c r="L67" i="10"/>
  <c r="M67" i="10" s="1"/>
  <c r="D72" i="10"/>
  <c r="E72" i="10" s="1"/>
  <c r="H69" i="10"/>
  <c r="I69" i="10" s="1"/>
  <c r="J70" i="11" l="1"/>
  <c r="K70" i="11" s="1"/>
  <c r="R66" i="11"/>
  <c r="S66" i="11" s="1"/>
  <c r="F72" i="11"/>
  <c r="G72" i="11" s="1"/>
  <c r="V64" i="11"/>
  <c r="W64" i="11" s="1"/>
  <c r="P67" i="11"/>
  <c r="Q67" i="11" s="1"/>
  <c r="N68" i="11"/>
  <c r="O68" i="11" s="1"/>
  <c r="T65" i="11"/>
  <c r="U65" i="11" s="1"/>
  <c r="L69" i="11"/>
  <c r="M69" i="11" s="1"/>
  <c r="B74" i="11"/>
  <c r="C74" i="11" s="1"/>
  <c r="D73" i="11"/>
  <c r="E73" i="11" s="1"/>
  <c r="AF59" i="11"/>
  <c r="AG59" i="11" s="1"/>
  <c r="H71" i="11"/>
  <c r="I71" i="11" s="1"/>
  <c r="AB61" i="11"/>
  <c r="AC61" i="11" s="1"/>
  <c r="X63" i="11"/>
  <c r="Y63" i="11" s="1"/>
  <c r="Z62" i="11"/>
  <c r="AA62" i="11" s="1"/>
  <c r="AD60" i="11"/>
  <c r="AE60" i="11" s="1"/>
  <c r="X62" i="10"/>
  <c r="Y62" i="10" s="1"/>
  <c r="F71" i="10"/>
  <c r="G71" i="10" s="1"/>
  <c r="J69" i="10"/>
  <c r="K69" i="10" s="1"/>
  <c r="Z61" i="10"/>
  <c r="AA61" i="10" s="1"/>
  <c r="N67" i="10"/>
  <c r="O67" i="10" s="1"/>
  <c r="B75" i="10"/>
  <c r="C75" i="10" s="1"/>
  <c r="R65" i="10"/>
  <c r="S65" i="10" s="1"/>
  <c r="AF58" i="10"/>
  <c r="AG58" i="10" s="1"/>
  <c r="V63" i="10"/>
  <c r="W63" i="10" s="1"/>
  <c r="AB60" i="10"/>
  <c r="AC60" i="10" s="1"/>
  <c r="AD59" i="10"/>
  <c r="AE59" i="10" s="1"/>
  <c r="L68" i="10"/>
  <c r="M68" i="10" s="1"/>
  <c r="T64" i="10"/>
  <c r="U64" i="10" s="1"/>
  <c r="H70" i="10"/>
  <c r="I70" i="10" s="1"/>
  <c r="D73" i="10"/>
  <c r="E73" i="10" s="1"/>
  <c r="P66" i="10"/>
  <c r="Q66" i="10" s="1"/>
  <c r="H72" i="11" l="1"/>
  <c r="I72" i="11" s="1"/>
  <c r="V65" i="11"/>
  <c r="W65" i="11" s="1"/>
  <c r="AF60" i="11"/>
  <c r="AG60" i="11" s="1"/>
  <c r="T66" i="11"/>
  <c r="U66" i="11" s="1"/>
  <c r="F73" i="11"/>
  <c r="G73" i="11" s="1"/>
  <c r="X64" i="11"/>
  <c r="Y64" i="11" s="1"/>
  <c r="N69" i="11"/>
  <c r="O69" i="11" s="1"/>
  <c r="R67" i="11"/>
  <c r="S67" i="11" s="1"/>
  <c r="L70" i="11"/>
  <c r="M70" i="11" s="1"/>
  <c r="D74" i="11"/>
  <c r="E74" i="11" s="1"/>
  <c r="AB62" i="11"/>
  <c r="AC62" i="11" s="1"/>
  <c r="B75" i="11"/>
  <c r="C75" i="11" s="1"/>
  <c r="P68" i="11"/>
  <c r="Q68" i="11" s="1"/>
  <c r="J71" i="11"/>
  <c r="K71" i="11" s="1"/>
  <c r="AD61" i="11"/>
  <c r="AE61" i="11" s="1"/>
  <c r="Z63" i="11"/>
  <c r="AA63" i="11" s="1"/>
  <c r="AF59" i="10"/>
  <c r="AG59" i="10" s="1"/>
  <c r="Z62" i="10"/>
  <c r="AA62" i="10" s="1"/>
  <c r="AD60" i="10"/>
  <c r="AE60" i="10" s="1"/>
  <c r="R66" i="10"/>
  <c r="S66" i="10" s="1"/>
  <c r="J70" i="10"/>
  <c r="K70" i="10" s="1"/>
  <c r="AB61" i="10"/>
  <c r="AC61" i="10" s="1"/>
  <c r="F72" i="10"/>
  <c r="G72" i="10" s="1"/>
  <c r="B76" i="10"/>
  <c r="C76" i="10" s="1"/>
  <c r="V64" i="10"/>
  <c r="W64" i="10" s="1"/>
  <c r="N68" i="10"/>
  <c r="O68" i="10" s="1"/>
  <c r="X63" i="10"/>
  <c r="Y63" i="10" s="1"/>
  <c r="P67" i="10"/>
  <c r="Q67" i="10" s="1"/>
  <c r="H71" i="10"/>
  <c r="I71" i="10" s="1"/>
  <c r="L69" i="10"/>
  <c r="M69" i="10" s="1"/>
  <c r="T65" i="10"/>
  <c r="U65" i="10" s="1"/>
  <c r="D74" i="10"/>
  <c r="E74" i="10" s="1"/>
  <c r="R68" i="11" l="1"/>
  <c r="S68" i="11" s="1"/>
  <c r="AD62" i="11"/>
  <c r="AE62" i="11" s="1"/>
  <c r="AB63" i="11"/>
  <c r="AC63" i="11" s="1"/>
  <c r="N70" i="11"/>
  <c r="O70" i="11" s="1"/>
  <c r="AF61" i="11"/>
  <c r="AG61" i="11" s="1"/>
  <c r="B76" i="11"/>
  <c r="C76" i="11" s="1"/>
  <c r="J72" i="11"/>
  <c r="K72" i="11" s="1"/>
  <c r="X65" i="11"/>
  <c r="Y65" i="11" s="1"/>
  <c r="V66" i="11"/>
  <c r="W66" i="11" s="1"/>
  <c r="Z64" i="11"/>
  <c r="AA64" i="11" s="1"/>
  <c r="T67" i="11"/>
  <c r="U67" i="11" s="1"/>
  <c r="D75" i="11"/>
  <c r="E75" i="11" s="1"/>
  <c r="P69" i="11"/>
  <c r="Q69" i="11" s="1"/>
  <c r="L71" i="11"/>
  <c r="M71" i="11" s="1"/>
  <c r="F74" i="11"/>
  <c r="G74" i="11" s="1"/>
  <c r="H73" i="11"/>
  <c r="I73" i="11" s="1"/>
  <c r="P68" i="10"/>
  <c r="Q68" i="10" s="1"/>
  <c r="T66" i="10"/>
  <c r="U66" i="10" s="1"/>
  <c r="X64" i="10"/>
  <c r="Y64" i="10" s="1"/>
  <c r="N69" i="10"/>
  <c r="O69" i="10" s="1"/>
  <c r="D75" i="10"/>
  <c r="E75" i="10" s="1"/>
  <c r="L70" i="10"/>
  <c r="M70" i="10" s="1"/>
  <c r="H72" i="10"/>
  <c r="I72" i="10" s="1"/>
  <c r="V65" i="10"/>
  <c r="W65" i="10" s="1"/>
  <c r="B77" i="10"/>
  <c r="C77" i="10" s="1"/>
  <c r="AB62" i="10"/>
  <c r="AC62" i="10" s="1"/>
  <c r="R67" i="10"/>
  <c r="S67" i="10" s="1"/>
  <c r="Z63" i="10"/>
  <c r="AA63" i="10" s="1"/>
  <c r="F73" i="10"/>
  <c r="G73" i="10" s="1"/>
  <c r="J71" i="10"/>
  <c r="K71" i="10" s="1"/>
  <c r="AD61" i="10"/>
  <c r="AE61" i="10" s="1"/>
  <c r="AF60" i="10"/>
  <c r="AG60" i="10" s="1"/>
  <c r="D76" i="11" l="1"/>
  <c r="E76" i="11" s="1"/>
  <c r="N71" i="11"/>
  <c r="O71" i="11" s="1"/>
  <c r="F75" i="11"/>
  <c r="G75" i="11" s="1"/>
  <c r="T68" i="11"/>
  <c r="U68" i="11" s="1"/>
  <c r="J73" i="11"/>
  <c r="K73" i="11" s="1"/>
  <c r="AB64" i="11"/>
  <c r="AC64" i="11" s="1"/>
  <c r="L72" i="11"/>
  <c r="M72" i="11" s="1"/>
  <c r="B77" i="11"/>
  <c r="C77" i="11" s="1"/>
  <c r="AD63" i="11"/>
  <c r="AE63" i="11" s="1"/>
  <c r="H74" i="11"/>
  <c r="I74" i="11" s="1"/>
  <c r="X66" i="11"/>
  <c r="Y66" i="11" s="1"/>
  <c r="Z65" i="11"/>
  <c r="AA65" i="11" s="1"/>
  <c r="P70" i="11"/>
  <c r="Q70" i="11" s="1"/>
  <c r="V67" i="11"/>
  <c r="W67" i="11" s="1"/>
  <c r="AF62" i="11"/>
  <c r="AG62" i="11" s="1"/>
  <c r="R69" i="11"/>
  <c r="S69" i="11" s="1"/>
  <c r="AB63" i="10"/>
  <c r="AC63" i="10" s="1"/>
  <c r="H73" i="10"/>
  <c r="I73" i="10" s="1"/>
  <c r="Z64" i="10"/>
  <c r="AA64" i="10" s="1"/>
  <c r="L71" i="10"/>
  <c r="M71" i="10" s="1"/>
  <c r="X65" i="10"/>
  <c r="Y65" i="10" s="1"/>
  <c r="D76" i="10"/>
  <c r="E76" i="10" s="1"/>
  <c r="T67" i="10"/>
  <c r="U67" i="10" s="1"/>
  <c r="J72" i="10"/>
  <c r="K72" i="10" s="1"/>
  <c r="AF61" i="10"/>
  <c r="AG61" i="10" s="1"/>
  <c r="V66" i="10"/>
  <c r="W66" i="10" s="1"/>
  <c r="P69" i="10"/>
  <c r="Q69" i="10" s="1"/>
  <c r="N70" i="10"/>
  <c r="O70" i="10" s="1"/>
  <c r="AD62" i="10"/>
  <c r="AE62" i="10" s="1"/>
  <c r="F74" i="10"/>
  <c r="G74" i="10" s="1"/>
  <c r="R68" i="10"/>
  <c r="S68" i="10" s="1"/>
  <c r="B78" i="10"/>
  <c r="C78" i="10" s="1"/>
  <c r="AF63" i="11" l="1"/>
  <c r="AG63" i="11" s="1"/>
  <c r="T69" i="11"/>
  <c r="U69" i="11" s="1"/>
  <c r="V68" i="11"/>
  <c r="W68" i="11" s="1"/>
  <c r="H75" i="11"/>
  <c r="I75" i="11" s="1"/>
  <c r="L73" i="11"/>
  <c r="M73" i="11" s="1"/>
  <c r="F76" i="11"/>
  <c r="G76" i="11" s="1"/>
  <c r="X67" i="11"/>
  <c r="Y67" i="11" s="1"/>
  <c r="AB65" i="11"/>
  <c r="AC65" i="11" s="1"/>
  <c r="N72" i="11"/>
  <c r="O72" i="11" s="1"/>
  <c r="B78" i="11"/>
  <c r="C78" i="11" s="1"/>
  <c r="P71" i="11"/>
  <c r="Q71" i="11" s="1"/>
  <c r="R70" i="11"/>
  <c r="S70" i="11" s="1"/>
  <c r="Z66" i="11"/>
  <c r="AA66" i="11" s="1"/>
  <c r="J74" i="11"/>
  <c r="K74" i="11" s="1"/>
  <c r="D77" i="11"/>
  <c r="E77" i="11" s="1"/>
  <c r="AD64" i="11"/>
  <c r="AE64" i="11" s="1"/>
  <c r="AF62" i="10"/>
  <c r="AG62" i="10" s="1"/>
  <c r="H74" i="10"/>
  <c r="I74" i="10" s="1"/>
  <c r="N71" i="10"/>
  <c r="O71" i="10" s="1"/>
  <c r="X66" i="10"/>
  <c r="Y66" i="10" s="1"/>
  <c r="R69" i="10"/>
  <c r="S69" i="10" s="1"/>
  <c r="P70" i="10"/>
  <c r="Q70" i="10" s="1"/>
  <c r="L72" i="10"/>
  <c r="M72" i="10" s="1"/>
  <c r="AD63" i="10"/>
  <c r="AE63" i="10" s="1"/>
  <c r="D77" i="10"/>
  <c r="E77" i="10" s="1"/>
  <c r="B79" i="10"/>
  <c r="C79" i="10" s="1"/>
  <c r="AB64" i="10"/>
  <c r="AC64" i="10" s="1"/>
  <c r="F75" i="10"/>
  <c r="G75" i="10" s="1"/>
  <c r="V67" i="10"/>
  <c r="W67" i="10" s="1"/>
  <c r="T68" i="10"/>
  <c r="U68" i="10" s="1"/>
  <c r="Z65" i="10"/>
  <c r="AA65" i="10" s="1"/>
  <c r="J73" i="10"/>
  <c r="K73" i="10" s="1"/>
  <c r="R71" i="11" l="1"/>
  <c r="S71" i="11" s="1"/>
  <c r="H76" i="11"/>
  <c r="I76" i="11" s="1"/>
  <c r="D78" i="11"/>
  <c r="E78" i="11" s="1"/>
  <c r="P72" i="11"/>
  <c r="Q72" i="11" s="1"/>
  <c r="X68" i="11"/>
  <c r="Y68" i="11" s="1"/>
  <c r="V69" i="11"/>
  <c r="W69" i="11" s="1"/>
  <c r="J75" i="11"/>
  <c r="K75" i="11" s="1"/>
  <c r="F77" i="11"/>
  <c r="G77" i="11" s="1"/>
  <c r="T70" i="11"/>
  <c r="U70" i="11" s="1"/>
  <c r="AB66" i="11"/>
  <c r="AC66" i="11" s="1"/>
  <c r="B79" i="11"/>
  <c r="C79" i="11" s="1"/>
  <c r="Z67" i="11"/>
  <c r="AA67" i="11" s="1"/>
  <c r="N73" i="11"/>
  <c r="O73" i="11" s="1"/>
  <c r="L74" i="11"/>
  <c r="M74" i="11" s="1"/>
  <c r="AF64" i="11"/>
  <c r="AG64" i="11" s="1"/>
  <c r="AD65" i="11"/>
  <c r="AE65" i="11" s="1"/>
  <c r="X67" i="10"/>
  <c r="Y67" i="10" s="1"/>
  <c r="T69" i="10"/>
  <c r="U69" i="10" s="1"/>
  <c r="AB65" i="10"/>
  <c r="AC65" i="10" s="1"/>
  <c r="N72" i="10"/>
  <c r="O72" i="10" s="1"/>
  <c r="H75" i="10"/>
  <c r="I75" i="10" s="1"/>
  <c r="Z66" i="10"/>
  <c r="AA66" i="10" s="1"/>
  <c r="V68" i="10"/>
  <c r="W68" i="10" s="1"/>
  <c r="P71" i="10"/>
  <c r="Q71" i="10" s="1"/>
  <c r="R70" i="10"/>
  <c r="S70" i="10" s="1"/>
  <c r="AF63" i="10"/>
  <c r="AG63" i="10" s="1"/>
  <c r="J74" i="10"/>
  <c r="K74" i="10" s="1"/>
  <c r="F76" i="10"/>
  <c r="G76" i="10" s="1"/>
  <c r="C80" i="10"/>
  <c r="B80" i="10"/>
  <c r="AD64" i="10"/>
  <c r="AE64" i="10" s="1"/>
  <c r="D78" i="10"/>
  <c r="E78" i="10" s="1"/>
  <c r="L73" i="10"/>
  <c r="M73" i="10" s="1"/>
  <c r="Z68" i="11" l="1"/>
  <c r="AA68" i="11" s="1"/>
  <c r="P73" i="11"/>
  <c r="Q73" i="11" s="1"/>
  <c r="AF65" i="11"/>
  <c r="AG65" i="11" s="1"/>
  <c r="B80" i="11"/>
  <c r="C80" i="11" s="1"/>
  <c r="J76" i="11"/>
  <c r="K76" i="11" s="1"/>
  <c r="D79" i="11"/>
  <c r="E79" i="11" s="1"/>
  <c r="L75" i="11"/>
  <c r="M75" i="11" s="1"/>
  <c r="V70" i="11"/>
  <c r="W70" i="11" s="1"/>
  <c r="H77" i="11"/>
  <c r="I77" i="11" s="1"/>
  <c r="F78" i="11"/>
  <c r="G78" i="11" s="1"/>
  <c r="AB67" i="11"/>
  <c r="AC67" i="11" s="1"/>
  <c r="N74" i="11"/>
  <c r="O74" i="11" s="1"/>
  <c r="T71" i="11"/>
  <c r="U71" i="11" s="1"/>
  <c r="X69" i="11"/>
  <c r="Y69" i="11" s="1"/>
  <c r="R72" i="11"/>
  <c r="S72" i="11" s="1"/>
  <c r="AD66" i="11"/>
  <c r="AE66" i="11" s="1"/>
  <c r="P72" i="10"/>
  <c r="Q72" i="10" s="1"/>
  <c r="AB66" i="10"/>
  <c r="AC66" i="10" s="1"/>
  <c r="T70" i="10"/>
  <c r="U70" i="10" s="1"/>
  <c r="AF64" i="10"/>
  <c r="AG64" i="10" s="1"/>
  <c r="H76" i="10"/>
  <c r="I76" i="10" s="1"/>
  <c r="L74" i="10"/>
  <c r="M74" i="10" s="1"/>
  <c r="X68" i="10"/>
  <c r="Y68" i="10" s="1"/>
  <c r="D79" i="10"/>
  <c r="E79" i="10" s="1"/>
  <c r="J75" i="10"/>
  <c r="K75" i="10" s="1"/>
  <c r="V69" i="10"/>
  <c r="W69" i="10" s="1"/>
  <c r="AD65" i="10"/>
  <c r="AE65" i="10" s="1"/>
  <c r="F77" i="10"/>
  <c r="G77" i="10" s="1"/>
  <c r="Z67" i="10"/>
  <c r="AA67" i="10" s="1"/>
  <c r="N73" i="10"/>
  <c r="O73" i="10" s="1"/>
  <c r="B81" i="10"/>
  <c r="C81" i="10" s="1"/>
  <c r="R71" i="10"/>
  <c r="S71" i="10" s="1"/>
  <c r="B81" i="11" l="1"/>
  <c r="C81" i="11" s="1"/>
  <c r="R73" i="11"/>
  <c r="S73" i="11" s="1"/>
  <c r="AB68" i="11"/>
  <c r="AC68" i="11" s="1"/>
  <c r="L76" i="11"/>
  <c r="M76" i="11" s="1"/>
  <c r="AF66" i="11"/>
  <c r="AG66" i="11" s="1"/>
  <c r="N75" i="11"/>
  <c r="O75" i="11" s="1"/>
  <c r="X70" i="11"/>
  <c r="Y70" i="11" s="1"/>
  <c r="D80" i="11"/>
  <c r="E80" i="11" s="1"/>
  <c r="P74" i="11"/>
  <c r="Q74" i="11" s="1"/>
  <c r="V71" i="11"/>
  <c r="W71" i="11" s="1"/>
  <c r="F79" i="11"/>
  <c r="G79" i="11" s="1"/>
  <c r="T72" i="11"/>
  <c r="U72" i="11" s="1"/>
  <c r="H78" i="11"/>
  <c r="I78" i="11" s="1"/>
  <c r="J77" i="11"/>
  <c r="K77" i="11" s="1"/>
  <c r="Z69" i="11"/>
  <c r="AA69" i="11" s="1"/>
  <c r="AD67" i="11"/>
  <c r="AE67" i="11" s="1"/>
  <c r="B82" i="10"/>
  <c r="C82" i="10" s="1"/>
  <c r="AF65" i="10"/>
  <c r="AG65" i="10" s="1"/>
  <c r="X69" i="10"/>
  <c r="Y69" i="10" s="1"/>
  <c r="T71" i="10"/>
  <c r="U71" i="10" s="1"/>
  <c r="AD66" i="10"/>
  <c r="AE66" i="10" s="1"/>
  <c r="L75" i="10"/>
  <c r="M75" i="10" s="1"/>
  <c r="AB67" i="10"/>
  <c r="AC67" i="10" s="1"/>
  <c r="R72" i="10"/>
  <c r="S72" i="10" s="1"/>
  <c r="Z68" i="10"/>
  <c r="AA68" i="10" s="1"/>
  <c r="H77" i="10"/>
  <c r="I77" i="10" s="1"/>
  <c r="P73" i="10"/>
  <c r="Q73" i="10" s="1"/>
  <c r="N74" i="10"/>
  <c r="O74" i="10" s="1"/>
  <c r="F78" i="10"/>
  <c r="G78" i="10" s="1"/>
  <c r="V70" i="10"/>
  <c r="W70" i="10" s="1"/>
  <c r="D80" i="10"/>
  <c r="E80" i="10" s="1"/>
  <c r="J76" i="10"/>
  <c r="K76" i="10" s="1"/>
  <c r="T73" i="11" l="1"/>
  <c r="U73" i="11" s="1"/>
  <c r="L77" i="11"/>
  <c r="M77" i="11" s="1"/>
  <c r="Z70" i="11"/>
  <c r="AA70" i="11" s="1"/>
  <c r="F80" i="11"/>
  <c r="G80" i="11" s="1"/>
  <c r="X71" i="11"/>
  <c r="Y71" i="11" s="1"/>
  <c r="AB69" i="11"/>
  <c r="AC69" i="11" s="1"/>
  <c r="J78" i="11"/>
  <c r="K78" i="11" s="1"/>
  <c r="N76" i="11"/>
  <c r="O76" i="11" s="1"/>
  <c r="R74" i="11"/>
  <c r="S74" i="11" s="1"/>
  <c r="D81" i="11"/>
  <c r="E81" i="11" s="1"/>
  <c r="V72" i="11"/>
  <c r="W72" i="11" s="1"/>
  <c r="H79" i="11"/>
  <c r="I79" i="11" s="1"/>
  <c r="P75" i="11"/>
  <c r="Q75" i="11" s="1"/>
  <c r="AF67" i="11"/>
  <c r="AG67" i="11" s="1"/>
  <c r="B82" i="11"/>
  <c r="C82" i="11" s="1"/>
  <c r="AD68" i="11"/>
  <c r="AE68" i="11" s="1"/>
  <c r="F79" i="10"/>
  <c r="G79" i="10" s="1"/>
  <c r="AB68" i="10"/>
  <c r="AC68" i="10" s="1"/>
  <c r="AD67" i="10"/>
  <c r="AE67" i="10" s="1"/>
  <c r="B83" i="10"/>
  <c r="C83" i="10" s="1"/>
  <c r="P74" i="10"/>
  <c r="Q74" i="10" s="1"/>
  <c r="T72" i="10"/>
  <c r="U72" i="10" s="1"/>
  <c r="J77" i="10"/>
  <c r="K77" i="10" s="1"/>
  <c r="H78" i="10"/>
  <c r="I78" i="10" s="1"/>
  <c r="X70" i="10"/>
  <c r="Y70" i="10" s="1"/>
  <c r="D81" i="10"/>
  <c r="E81" i="10" s="1"/>
  <c r="Z69" i="10"/>
  <c r="AA69" i="10" s="1"/>
  <c r="L76" i="10"/>
  <c r="M76" i="10" s="1"/>
  <c r="AF66" i="10"/>
  <c r="AG66" i="10" s="1"/>
  <c r="N75" i="10"/>
  <c r="O75" i="10" s="1"/>
  <c r="R73" i="10"/>
  <c r="S73" i="10" s="1"/>
  <c r="V71" i="10"/>
  <c r="W71" i="10" s="1"/>
  <c r="H80" i="11" l="1"/>
  <c r="I80" i="11" s="1"/>
  <c r="F81" i="11"/>
  <c r="G81" i="11" s="1"/>
  <c r="B83" i="11"/>
  <c r="C83" i="11" s="1"/>
  <c r="V73" i="11"/>
  <c r="W73" i="11" s="1"/>
  <c r="J79" i="11"/>
  <c r="K79" i="11" s="1"/>
  <c r="Z71" i="11"/>
  <c r="AA71" i="11" s="1"/>
  <c r="AF68" i="11"/>
  <c r="AG68" i="11" s="1"/>
  <c r="AB70" i="11"/>
  <c r="AC70" i="11" s="1"/>
  <c r="L78" i="11"/>
  <c r="M78" i="11" s="1"/>
  <c r="N77" i="11"/>
  <c r="O77" i="11" s="1"/>
  <c r="D82" i="11"/>
  <c r="E82" i="11" s="1"/>
  <c r="P76" i="11"/>
  <c r="Q76" i="11" s="1"/>
  <c r="R75" i="11"/>
  <c r="S75" i="11" s="1"/>
  <c r="X72" i="11"/>
  <c r="Y72" i="11" s="1"/>
  <c r="T74" i="11"/>
  <c r="U74" i="11" s="1"/>
  <c r="AD69" i="11"/>
  <c r="AE69" i="11" s="1"/>
  <c r="Z70" i="10"/>
  <c r="AA70" i="10" s="1"/>
  <c r="T73" i="10"/>
  <c r="U73" i="10" s="1"/>
  <c r="V72" i="10"/>
  <c r="W72" i="10" s="1"/>
  <c r="AD68" i="10"/>
  <c r="AE68" i="10" s="1"/>
  <c r="AB69" i="10"/>
  <c r="AC69" i="10" s="1"/>
  <c r="R74" i="10"/>
  <c r="S74" i="10" s="1"/>
  <c r="L77" i="10"/>
  <c r="M77" i="10" s="1"/>
  <c r="J78" i="10"/>
  <c r="K78" i="10" s="1"/>
  <c r="F80" i="10"/>
  <c r="G80" i="10" s="1"/>
  <c r="N76" i="10"/>
  <c r="O76" i="10" s="1"/>
  <c r="D82" i="10"/>
  <c r="E82" i="10" s="1"/>
  <c r="H79" i="10"/>
  <c r="I79" i="10" s="1"/>
  <c r="B84" i="10"/>
  <c r="C84" i="10" s="1"/>
  <c r="X71" i="10"/>
  <c r="Y71" i="10" s="1"/>
  <c r="P75" i="10"/>
  <c r="Q75" i="10" s="1"/>
  <c r="AF67" i="10"/>
  <c r="AG67" i="10" s="1"/>
  <c r="P77" i="11" l="1"/>
  <c r="Q77" i="11" s="1"/>
  <c r="V74" i="11"/>
  <c r="W74" i="11" s="1"/>
  <c r="T75" i="11"/>
  <c r="U75" i="11" s="1"/>
  <c r="D83" i="11"/>
  <c r="E83" i="11" s="1"/>
  <c r="AF69" i="11"/>
  <c r="AG69" i="11" s="1"/>
  <c r="B84" i="11"/>
  <c r="C84" i="11" s="1"/>
  <c r="X73" i="11"/>
  <c r="Y73" i="11" s="1"/>
  <c r="Z72" i="11"/>
  <c r="AA72" i="11" s="1"/>
  <c r="F82" i="11"/>
  <c r="G82" i="11" s="1"/>
  <c r="AB71" i="11"/>
  <c r="AC71" i="11" s="1"/>
  <c r="N78" i="11"/>
  <c r="O78" i="11" s="1"/>
  <c r="R76" i="11"/>
  <c r="S76" i="11" s="1"/>
  <c r="L79" i="11"/>
  <c r="M79" i="11" s="1"/>
  <c r="J80" i="11"/>
  <c r="K80" i="11" s="1"/>
  <c r="H81" i="11"/>
  <c r="I81" i="11" s="1"/>
  <c r="AD70" i="11"/>
  <c r="AE70" i="11" s="1"/>
  <c r="N77" i="10"/>
  <c r="O77" i="10" s="1"/>
  <c r="AD69" i="10"/>
  <c r="AE69" i="10" s="1"/>
  <c r="B85" i="10"/>
  <c r="C85" i="10" s="1"/>
  <c r="F81" i="10"/>
  <c r="G81" i="10" s="1"/>
  <c r="R75" i="10"/>
  <c r="S75" i="10" s="1"/>
  <c r="V73" i="10"/>
  <c r="W73" i="10" s="1"/>
  <c r="H80" i="10"/>
  <c r="I80" i="10" s="1"/>
  <c r="T74" i="10"/>
  <c r="U74" i="10" s="1"/>
  <c r="J79" i="10"/>
  <c r="K79" i="10" s="1"/>
  <c r="D83" i="10"/>
  <c r="E83" i="10" s="1"/>
  <c r="Z71" i="10"/>
  <c r="AA71" i="10" s="1"/>
  <c r="X72" i="10"/>
  <c r="Y72" i="10" s="1"/>
  <c r="P76" i="10"/>
  <c r="Q76" i="10" s="1"/>
  <c r="L78" i="10"/>
  <c r="M78" i="10" s="1"/>
  <c r="AB70" i="10"/>
  <c r="AC70" i="10" s="1"/>
  <c r="AF68" i="10"/>
  <c r="AG68" i="10" s="1"/>
  <c r="R77" i="11" l="1"/>
  <c r="S77" i="11" s="1"/>
  <c r="D84" i="11"/>
  <c r="E84" i="11" s="1"/>
  <c r="H82" i="11"/>
  <c r="I82" i="11" s="1"/>
  <c r="N79" i="11"/>
  <c r="O79" i="11" s="1"/>
  <c r="X74" i="11"/>
  <c r="Y74" i="11" s="1"/>
  <c r="T76" i="11"/>
  <c r="U76" i="11" s="1"/>
  <c r="J81" i="11"/>
  <c r="K81" i="11" s="1"/>
  <c r="B85" i="11"/>
  <c r="C85" i="11" s="1"/>
  <c r="V75" i="11"/>
  <c r="W75" i="11" s="1"/>
  <c r="Z73" i="11"/>
  <c r="AA73" i="11" s="1"/>
  <c r="AB72" i="11"/>
  <c r="AC72" i="11" s="1"/>
  <c r="L80" i="11"/>
  <c r="M80" i="11" s="1"/>
  <c r="F83" i="11"/>
  <c r="G83" i="11" s="1"/>
  <c r="AF70" i="11"/>
  <c r="AG70" i="11" s="1"/>
  <c r="P78" i="11"/>
  <c r="Q78" i="11" s="1"/>
  <c r="AD71" i="11"/>
  <c r="AE71" i="11" s="1"/>
  <c r="Z72" i="10"/>
  <c r="AA72" i="10" s="1"/>
  <c r="F82" i="10"/>
  <c r="G82" i="10" s="1"/>
  <c r="D84" i="10"/>
  <c r="E84" i="10" s="1"/>
  <c r="H81" i="10"/>
  <c r="I81" i="10" s="1"/>
  <c r="B86" i="10"/>
  <c r="C86" i="10" s="1"/>
  <c r="V74" i="10"/>
  <c r="W74" i="10" s="1"/>
  <c r="AD70" i="10"/>
  <c r="AE70" i="10" s="1"/>
  <c r="J80" i="10"/>
  <c r="K80" i="10" s="1"/>
  <c r="L79" i="10"/>
  <c r="M79" i="10" s="1"/>
  <c r="R76" i="10"/>
  <c r="S76" i="10" s="1"/>
  <c r="N78" i="10"/>
  <c r="O78" i="10" s="1"/>
  <c r="X73" i="10"/>
  <c r="Y73" i="10" s="1"/>
  <c r="T75" i="10"/>
  <c r="U75" i="10" s="1"/>
  <c r="AF69" i="10"/>
  <c r="AG69" i="10" s="1"/>
  <c r="AB71" i="10"/>
  <c r="AC71" i="10" s="1"/>
  <c r="P77" i="10"/>
  <c r="Q77" i="10" s="1"/>
  <c r="B86" i="11" l="1"/>
  <c r="C86" i="11" s="1"/>
  <c r="P79" i="11"/>
  <c r="Q79" i="11" s="1"/>
  <c r="AB73" i="11"/>
  <c r="AC73" i="11" s="1"/>
  <c r="J82" i="11"/>
  <c r="K82" i="11" s="1"/>
  <c r="H83" i="11"/>
  <c r="I83" i="11" s="1"/>
  <c r="L81" i="11"/>
  <c r="M81" i="11" s="1"/>
  <c r="AF71" i="11"/>
  <c r="AG71" i="11" s="1"/>
  <c r="T77" i="11"/>
  <c r="U77" i="11" s="1"/>
  <c r="D85" i="11"/>
  <c r="E85" i="11" s="1"/>
  <c r="N80" i="11"/>
  <c r="O80" i="11" s="1"/>
  <c r="Z74" i="11"/>
  <c r="AA74" i="11" s="1"/>
  <c r="F84" i="11"/>
  <c r="G84" i="11" s="1"/>
  <c r="V76" i="11"/>
  <c r="W76" i="11" s="1"/>
  <c r="X75" i="11"/>
  <c r="Y75" i="11" s="1"/>
  <c r="R78" i="11"/>
  <c r="S78" i="11" s="1"/>
  <c r="AD72" i="11"/>
  <c r="AE72" i="11" s="1"/>
  <c r="J81" i="10"/>
  <c r="K81" i="10" s="1"/>
  <c r="H82" i="10"/>
  <c r="I82" i="10" s="1"/>
  <c r="N79" i="10"/>
  <c r="O79" i="10" s="1"/>
  <c r="AD71" i="10"/>
  <c r="AE71" i="10" s="1"/>
  <c r="D85" i="10"/>
  <c r="E85" i="10" s="1"/>
  <c r="F83" i="10"/>
  <c r="G83" i="10" s="1"/>
  <c r="R77" i="10"/>
  <c r="S77" i="10" s="1"/>
  <c r="V75" i="10"/>
  <c r="W75" i="10" s="1"/>
  <c r="L80" i="10"/>
  <c r="M80" i="10" s="1"/>
  <c r="B87" i="10"/>
  <c r="C87" i="10" s="1"/>
  <c r="Z73" i="10"/>
  <c r="AA73" i="10" s="1"/>
  <c r="P78" i="10"/>
  <c r="Q78" i="10" s="1"/>
  <c r="AF70" i="10"/>
  <c r="AG70" i="10" s="1"/>
  <c r="X74" i="10"/>
  <c r="Y74" i="10" s="1"/>
  <c r="AB72" i="10"/>
  <c r="AC72" i="10" s="1"/>
  <c r="T76" i="10"/>
  <c r="U76" i="10" s="1"/>
  <c r="F85" i="11" l="1"/>
  <c r="G85" i="11" s="1"/>
  <c r="J83" i="11"/>
  <c r="K83" i="11" s="1"/>
  <c r="R79" i="11"/>
  <c r="S79" i="11" s="1"/>
  <c r="Z75" i="11"/>
  <c r="AA75" i="11" s="1"/>
  <c r="AF72" i="11"/>
  <c r="AG72" i="11" s="1"/>
  <c r="AB74" i="11"/>
  <c r="AC74" i="11" s="1"/>
  <c r="X76" i="11"/>
  <c r="Y76" i="11" s="1"/>
  <c r="L82" i="11"/>
  <c r="M82" i="11" s="1"/>
  <c r="P80" i="11"/>
  <c r="Q80" i="11" s="1"/>
  <c r="T78" i="11"/>
  <c r="U78" i="11" s="1"/>
  <c r="N81" i="11"/>
  <c r="O81" i="11" s="1"/>
  <c r="V77" i="11"/>
  <c r="W77" i="11" s="1"/>
  <c r="D86" i="11"/>
  <c r="E86" i="11" s="1"/>
  <c r="H84" i="11"/>
  <c r="I84" i="11" s="1"/>
  <c r="B87" i="11"/>
  <c r="C87" i="11" s="1"/>
  <c r="AD73" i="11"/>
  <c r="AE73" i="11" s="1"/>
  <c r="P79" i="10"/>
  <c r="Q79" i="10" s="1"/>
  <c r="V76" i="10"/>
  <c r="W76" i="10" s="1"/>
  <c r="AD72" i="10"/>
  <c r="AE72" i="10" s="1"/>
  <c r="Z74" i="10"/>
  <c r="AA74" i="10" s="1"/>
  <c r="R78" i="10"/>
  <c r="S78" i="10" s="1"/>
  <c r="N80" i="10"/>
  <c r="O80" i="10" s="1"/>
  <c r="F84" i="10"/>
  <c r="G84" i="10" s="1"/>
  <c r="H83" i="10"/>
  <c r="I83" i="10" s="1"/>
  <c r="B88" i="10"/>
  <c r="C88" i="10" s="1"/>
  <c r="L81" i="10"/>
  <c r="M81" i="10" s="1"/>
  <c r="D86" i="10"/>
  <c r="E86" i="10" s="1"/>
  <c r="J82" i="10"/>
  <c r="K82" i="10" s="1"/>
  <c r="T77" i="10"/>
  <c r="U77" i="10" s="1"/>
  <c r="X75" i="10"/>
  <c r="Y75" i="10" s="1"/>
  <c r="AB73" i="10"/>
  <c r="AC73" i="10" s="1"/>
  <c r="AF71" i="10"/>
  <c r="AG71" i="10" s="1"/>
  <c r="V78" i="11" l="1"/>
  <c r="W78" i="11" s="1"/>
  <c r="Z76" i="11"/>
  <c r="AA76" i="11" s="1"/>
  <c r="B88" i="11"/>
  <c r="C88" i="11" s="1"/>
  <c r="N82" i="11"/>
  <c r="O82" i="11" s="1"/>
  <c r="X77" i="11"/>
  <c r="Y77" i="11" s="1"/>
  <c r="R80" i="11"/>
  <c r="S80" i="11" s="1"/>
  <c r="H85" i="11"/>
  <c r="I85" i="11" s="1"/>
  <c r="AB75" i="11"/>
  <c r="AC75" i="11" s="1"/>
  <c r="J84" i="11"/>
  <c r="K84" i="11" s="1"/>
  <c r="L83" i="11"/>
  <c r="M83" i="11" s="1"/>
  <c r="T79" i="11"/>
  <c r="U79" i="11" s="1"/>
  <c r="D87" i="11"/>
  <c r="E87" i="11" s="1"/>
  <c r="P81" i="11"/>
  <c r="Q81" i="11" s="1"/>
  <c r="AF73" i="11"/>
  <c r="AG73" i="11" s="1"/>
  <c r="F86" i="11"/>
  <c r="G86" i="11" s="1"/>
  <c r="AD74" i="11"/>
  <c r="AE74" i="11" s="1"/>
  <c r="J83" i="10"/>
  <c r="K83" i="10" s="1"/>
  <c r="H84" i="10"/>
  <c r="I84" i="10" s="1"/>
  <c r="Z75" i="10"/>
  <c r="AA75" i="10" s="1"/>
  <c r="D87" i="10"/>
  <c r="E87" i="10" s="1"/>
  <c r="F85" i="10"/>
  <c r="G85" i="10" s="1"/>
  <c r="AD73" i="10"/>
  <c r="AE73" i="10" s="1"/>
  <c r="L82" i="10"/>
  <c r="M82" i="10" s="1"/>
  <c r="N81" i="10"/>
  <c r="O81" i="10" s="1"/>
  <c r="V77" i="10"/>
  <c r="W77" i="10" s="1"/>
  <c r="T78" i="10"/>
  <c r="U78" i="10" s="1"/>
  <c r="B89" i="10"/>
  <c r="C89" i="10" s="1"/>
  <c r="R79" i="10"/>
  <c r="S79" i="10" s="1"/>
  <c r="P80" i="10"/>
  <c r="Q80" i="10" s="1"/>
  <c r="AF72" i="10"/>
  <c r="AG72" i="10" s="1"/>
  <c r="X76" i="10"/>
  <c r="Y76" i="10" s="1"/>
  <c r="AB74" i="10"/>
  <c r="AC74" i="10" s="1"/>
  <c r="N83" i="11" l="1"/>
  <c r="O83" i="11" s="1"/>
  <c r="F87" i="11"/>
  <c r="G87" i="11" s="1"/>
  <c r="T80" i="11"/>
  <c r="U80" i="11" s="1"/>
  <c r="H86" i="11"/>
  <c r="I86" i="11" s="1"/>
  <c r="B89" i="11"/>
  <c r="C89" i="11" s="1"/>
  <c r="D88" i="11"/>
  <c r="E88" i="11" s="1"/>
  <c r="AF74" i="11"/>
  <c r="AG74" i="11" s="1"/>
  <c r="R81" i="11"/>
  <c r="S81" i="11" s="1"/>
  <c r="Z77" i="11"/>
  <c r="AA77" i="11" s="1"/>
  <c r="AB76" i="11"/>
  <c r="AC76" i="11" s="1"/>
  <c r="L84" i="11"/>
  <c r="M84" i="11" s="1"/>
  <c r="P82" i="11"/>
  <c r="Q82" i="11" s="1"/>
  <c r="J85" i="11"/>
  <c r="K85" i="11" s="1"/>
  <c r="X78" i="11"/>
  <c r="Y78" i="11" s="1"/>
  <c r="V79" i="11"/>
  <c r="W79" i="11" s="1"/>
  <c r="AD75" i="11"/>
  <c r="AE75" i="11" s="1"/>
  <c r="AD74" i="10"/>
  <c r="AE74" i="10" s="1"/>
  <c r="P81" i="10"/>
  <c r="Q81" i="10" s="1"/>
  <c r="F86" i="10"/>
  <c r="G86" i="10" s="1"/>
  <c r="R80" i="10"/>
  <c r="S80" i="10" s="1"/>
  <c r="N82" i="10"/>
  <c r="O82" i="10" s="1"/>
  <c r="D88" i="10"/>
  <c r="E88" i="10" s="1"/>
  <c r="T79" i="10"/>
  <c r="U79" i="10" s="1"/>
  <c r="H85" i="10"/>
  <c r="I85" i="10" s="1"/>
  <c r="V78" i="10"/>
  <c r="W78" i="10" s="1"/>
  <c r="J84" i="10"/>
  <c r="K84" i="10" s="1"/>
  <c r="B90" i="10"/>
  <c r="C90" i="10" s="1"/>
  <c r="L83" i="10"/>
  <c r="M83" i="10" s="1"/>
  <c r="Z76" i="10"/>
  <c r="AA76" i="10" s="1"/>
  <c r="AB75" i="10"/>
  <c r="AC75" i="10" s="1"/>
  <c r="AF73" i="10"/>
  <c r="AG73" i="10" s="1"/>
  <c r="X77" i="10"/>
  <c r="Y77" i="10" s="1"/>
  <c r="AD76" i="11" l="1"/>
  <c r="AE76" i="11" s="1"/>
  <c r="R82" i="11"/>
  <c r="S82" i="11" s="1"/>
  <c r="V80" i="11"/>
  <c r="W80" i="11" s="1"/>
  <c r="L85" i="11"/>
  <c r="M85" i="11" s="1"/>
  <c r="AF75" i="11"/>
  <c r="AG75" i="11" s="1"/>
  <c r="T81" i="11"/>
  <c r="U81" i="11" s="1"/>
  <c r="P83" i="11"/>
  <c r="Q83" i="11" s="1"/>
  <c r="X79" i="11"/>
  <c r="Y79" i="11" s="1"/>
  <c r="D89" i="11"/>
  <c r="E89" i="11" s="1"/>
  <c r="F88" i="11"/>
  <c r="G88" i="11" s="1"/>
  <c r="H87" i="11"/>
  <c r="I87" i="11" s="1"/>
  <c r="AB77" i="11"/>
  <c r="AC77" i="11" s="1"/>
  <c r="J86" i="11"/>
  <c r="K86" i="11" s="1"/>
  <c r="Z78" i="11"/>
  <c r="AA78" i="11" s="1"/>
  <c r="B90" i="11"/>
  <c r="C90" i="11" s="1"/>
  <c r="N84" i="11"/>
  <c r="O84" i="11" s="1"/>
  <c r="L84" i="10"/>
  <c r="M84" i="10" s="1"/>
  <c r="H86" i="10"/>
  <c r="I86" i="10" s="1"/>
  <c r="R81" i="10"/>
  <c r="S81" i="10" s="1"/>
  <c r="B91" i="10"/>
  <c r="C91" i="10" s="1"/>
  <c r="T80" i="10"/>
  <c r="U80" i="10" s="1"/>
  <c r="F87" i="10"/>
  <c r="G87" i="10" s="1"/>
  <c r="X78" i="10"/>
  <c r="Y78" i="10" s="1"/>
  <c r="D89" i="10"/>
  <c r="E89" i="10" s="1"/>
  <c r="P82" i="10"/>
  <c r="Q82" i="10" s="1"/>
  <c r="J85" i="10"/>
  <c r="K85" i="10" s="1"/>
  <c r="Z77" i="10"/>
  <c r="AA77" i="10" s="1"/>
  <c r="V79" i="10"/>
  <c r="W79" i="10" s="1"/>
  <c r="N83" i="10"/>
  <c r="O83" i="10" s="1"/>
  <c r="AD75" i="10"/>
  <c r="AE75" i="10" s="1"/>
  <c r="AB76" i="10"/>
  <c r="AC76" i="10" s="1"/>
  <c r="AF74" i="10"/>
  <c r="AG74" i="10" s="1"/>
  <c r="AB78" i="11" l="1"/>
  <c r="AC78" i="11" s="1"/>
  <c r="L86" i="11"/>
  <c r="M86" i="11" s="1"/>
  <c r="B91" i="11"/>
  <c r="C91" i="11" s="1"/>
  <c r="H88" i="11"/>
  <c r="I88" i="11" s="1"/>
  <c r="P84" i="11"/>
  <c r="Q84" i="11" s="1"/>
  <c r="V81" i="11"/>
  <c r="W81" i="11" s="1"/>
  <c r="Z79" i="11"/>
  <c r="AA79" i="11" s="1"/>
  <c r="T82" i="11"/>
  <c r="U82" i="11" s="1"/>
  <c r="R83" i="11"/>
  <c r="S83" i="11" s="1"/>
  <c r="X80" i="11"/>
  <c r="Y80" i="11" s="1"/>
  <c r="F89" i="11"/>
  <c r="G89" i="11" s="1"/>
  <c r="J87" i="11"/>
  <c r="K87" i="11" s="1"/>
  <c r="D90" i="11"/>
  <c r="E90" i="11" s="1"/>
  <c r="AF76" i="11"/>
  <c r="AG76" i="11" s="1"/>
  <c r="AD77" i="11"/>
  <c r="AE77" i="11" s="1"/>
  <c r="N85" i="11"/>
  <c r="O85" i="11" s="1"/>
  <c r="D90" i="10"/>
  <c r="E90" i="10" s="1"/>
  <c r="B92" i="10"/>
  <c r="C92" i="10" s="1"/>
  <c r="AD76" i="10"/>
  <c r="AE76" i="10" s="1"/>
  <c r="X79" i="10"/>
  <c r="Y79" i="10" s="1"/>
  <c r="R82" i="10"/>
  <c r="S82" i="10" s="1"/>
  <c r="N84" i="10"/>
  <c r="O84" i="10" s="1"/>
  <c r="F88" i="10"/>
  <c r="G88" i="10" s="1"/>
  <c r="H87" i="10"/>
  <c r="I87" i="10" s="1"/>
  <c r="J86" i="10"/>
  <c r="K86" i="10" s="1"/>
  <c r="V80" i="10"/>
  <c r="W80" i="10" s="1"/>
  <c r="P83" i="10"/>
  <c r="Q83" i="10" s="1"/>
  <c r="T81" i="10"/>
  <c r="U81" i="10" s="1"/>
  <c r="L85" i="10"/>
  <c r="M85" i="10" s="1"/>
  <c r="Z78" i="10"/>
  <c r="AA78" i="10" s="1"/>
  <c r="AF75" i="10"/>
  <c r="AG75" i="10" s="1"/>
  <c r="AB77" i="10"/>
  <c r="AC77" i="10" s="1"/>
  <c r="J88" i="11" l="1"/>
  <c r="K88" i="11" s="1"/>
  <c r="H89" i="11"/>
  <c r="I89" i="11" s="1"/>
  <c r="AD78" i="11"/>
  <c r="AE78" i="11" s="1"/>
  <c r="F90" i="11"/>
  <c r="G90" i="11" s="1"/>
  <c r="Z80" i="11"/>
  <c r="AA80" i="11" s="1"/>
  <c r="B92" i="11"/>
  <c r="C92" i="11" s="1"/>
  <c r="AF77" i="11"/>
  <c r="AG77" i="11" s="1"/>
  <c r="V82" i="11"/>
  <c r="W82" i="11" s="1"/>
  <c r="L87" i="11"/>
  <c r="M87" i="11" s="1"/>
  <c r="T83" i="11"/>
  <c r="U83" i="11" s="1"/>
  <c r="X81" i="11"/>
  <c r="Y81" i="11" s="1"/>
  <c r="D91" i="11"/>
  <c r="E91" i="11" s="1"/>
  <c r="R84" i="11"/>
  <c r="S84" i="11" s="1"/>
  <c r="P85" i="11"/>
  <c r="Q85" i="11" s="1"/>
  <c r="AB79" i="11"/>
  <c r="AC79" i="11" s="1"/>
  <c r="N86" i="11"/>
  <c r="O86" i="11" s="1"/>
  <c r="Z79" i="10"/>
  <c r="AA79" i="10" s="1"/>
  <c r="T82" i="10"/>
  <c r="U82" i="10" s="1"/>
  <c r="H88" i="10"/>
  <c r="I88" i="10" s="1"/>
  <c r="X80" i="10"/>
  <c r="Y80" i="10" s="1"/>
  <c r="P84" i="10"/>
  <c r="Q84" i="10" s="1"/>
  <c r="F89" i="10"/>
  <c r="G89" i="10" s="1"/>
  <c r="AD77" i="10"/>
  <c r="AE77" i="10" s="1"/>
  <c r="V81" i="10"/>
  <c r="W81" i="10" s="1"/>
  <c r="N85" i="10"/>
  <c r="O85" i="10" s="1"/>
  <c r="B93" i="10"/>
  <c r="C93" i="10" s="1"/>
  <c r="AB78" i="10"/>
  <c r="AC78" i="10" s="1"/>
  <c r="L86" i="10"/>
  <c r="M86" i="10" s="1"/>
  <c r="J87" i="10"/>
  <c r="K87" i="10" s="1"/>
  <c r="R83" i="10"/>
  <c r="S83" i="10" s="1"/>
  <c r="D91" i="10"/>
  <c r="E91" i="10" s="1"/>
  <c r="AF76" i="10"/>
  <c r="AG76" i="10" s="1"/>
  <c r="T84" i="11" l="1"/>
  <c r="U84" i="11" s="1"/>
  <c r="R85" i="11"/>
  <c r="S85" i="11" s="1"/>
  <c r="L88" i="11"/>
  <c r="M88" i="11" s="1"/>
  <c r="J89" i="11"/>
  <c r="K89" i="11" s="1"/>
  <c r="D92" i="11"/>
  <c r="E92" i="11" s="1"/>
  <c r="V83" i="11"/>
  <c r="W83" i="11" s="1"/>
  <c r="F91" i="11"/>
  <c r="G91" i="11" s="1"/>
  <c r="AB80" i="11"/>
  <c r="AC80" i="11" s="1"/>
  <c r="X82" i="11"/>
  <c r="Y82" i="11" s="1"/>
  <c r="AF78" i="11"/>
  <c r="AG78" i="11" s="1"/>
  <c r="AD79" i="11"/>
  <c r="AE79" i="11" s="1"/>
  <c r="P86" i="11"/>
  <c r="Q86" i="11" s="1"/>
  <c r="B93" i="11"/>
  <c r="C93" i="11" s="1"/>
  <c r="H90" i="11"/>
  <c r="I90" i="11" s="1"/>
  <c r="Z81" i="11"/>
  <c r="AA81" i="11" s="1"/>
  <c r="N87" i="11"/>
  <c r="O87" i="11" s="1"/>
  <c r="L87" i="10"/>
  <c r="M87" i="10" s="1"/>
  <c r="V82" i="10"/>
  <c r="W82" i="10" s="1"/>
  <c r="X81" i="10"/>
  <c r="Y81" i="10" s="1"/>
  <c r="D92" i="10"/>
  <c r="E92" i="10" s="1"/>
  <c r="AB79" i="10"/>
  <c r="AC79" i="10" s="1"/>
  <c r="AD78" i="10"/>
  <c r="AE78" i="10" s="1"/>
  <c r="H89" i="10"/>
  <c r="I89" i="10" s="1"/>
  <c r="R84" i="10"/>
  <c r="S84" i="10" s="1"/>
  <c r="F90" i="10"/>
  <c r="G90" i="10" s="1"/>
  <c r="T83" i="10"/>
  <c r="U83" i="10" s="1"/>
  <c r="B94" i="10"/>
  <c r="C94" i="10" s="1"/>
  <c r="J88" i="10"/>
  <c r="K88" i="10" s="1"/>
  <c r="N86" i="10"/>
  <c r="O86" i="10" s="1"/>
  <c r="P85" i="10"/>
  <c r="Q85" i="10" s="1"/>
  <c r="Z80" i="10"/>
  <c r="AA80" i="10" s="1"/>
  <c r="AF77" i="10"/>
  <c r="AG77" i="10" s="1"/>
  <c r="P87" i="11" l="1"/>
  <c r="Q87" i="11" s="1"/>
  <c r="J90" i="11"/>
  <c r="K90" i="11" s="1"/>
  <c r="Z82" i="11"/>
  <c r="AA82" i="11" s="1"/>
  <c r="AD80" i="11"/>
  <c r="AE80" i="11" s="1"/>
  <c r="F92" i="11"/>
  <c r="G92" i="11" s="1"/>
  <c r="L89" i="11"/>
  <c r="M89" i="11" s="1"/>
  <c r="H91" i="11"/>
  <c r="I91" i="11" s="1"/>
  <c r="V84" i="11"/>
  <c r="W84" i="11" s="1"/>
  <c r="R86" i="11"/>
  <c r="S86" i="11" s="1"/>
  <c r="AB81" i="11"/>
  <c r="AC81" i="11" s="1"/>
  <c r="AF79" i="11"/>
  <c r="AG79" i="11" s="1"/>
  <c r="B94" i="11"/>
  <c r="C94" i="11" s="1"/>
  <c r="X83" i="11"/>
  <c r="Y83" i="11" s="1"/>
  <c r="D93" i="11"/>
  <c r="E93" i="11" s="1"/>
  <c r="T85" i="11"/>
  <c r="U85" i="11" s="1"/>
  <c r="N88" i="11"/>
  <c r="O88" i="11" s="1"/>
  <c r="AF78" i="10"/>
  <c r="AG78" i="10" s="1"/>
  <c r="J89" i="10"/>
  <c r="K89" i="10" s="1"/>
  <c r="R85" i="10"/>
  <c r="S85" i="10" s="1"/>
  <c r="D93" i="10"/>
  <c r="E93" i="10" s="1"/>
  <c r="Z81" i="10"/>
  <c r="AA81" i="10" s="1"/>
  <c r="B95" i="10"/>
  <c r="C95" i="10" s="1"/>
  <c r="H90" i="10"/>
  <c r="I90" i="10" s="1"/>
  <c r="X82" i="10"/>
  <c r="Y82" i="10" s="1"/>
  <c r="T84" i="10"/>
  <c r="U84" i="10" s="1"/>
  <c r="AD79" i="10"/>
  <c r="AE79" i="10" s="1"/>
  <c r="V83" i="10"/>
  <c r="W83" i="10" s="1"/>
  <c r="P86" i="10"/>
  <c r="Q86" i="10" s="1"/>
  <c r="N87" i="10"/>
  <c r="O87" i="10" s="1"/>
  <c r="F91" i="10"/>
  <c r="G91" i="10" s="1"/>
  <c r="AB80" i="10"/>
  <c r="AC80" i="10" s="1"/>
  <c r="L88" i="10"/>
  <c r="M88" i="10" s="1"/>
  <c r="AD81" i="11" l="1"/>
  <c r="AE81" i="11" s="1"/>
  <c r="T86" i="11"/>
  <c r="U86" i="11" s="1"/>
  <c r="AF80" i="11"/>
  <c r="AG80" i="11" s="1"/>
  <c r="H92" i="11"/>
  <c r="I92" i="11" s="1"/>
  <c r="Z83" i="11"/>
  <c r="AA83" i="11" s="1"/>
  <c r="B95" i="11"/>
  <c r="C95" i="11" s="1"/>
  <c r="D94" i="11"/>
  <c r="E94" i="11" s="1"/>
  <c r="L90" i="11"/>
  <c r="M90" i="11" s="1"/>
  <c r="J91" i="11"/>
  <c r="K91" i="11" s="1"/>
  <c r="V85" i="11"/>
  <c r="W85" i="11" s="1"/>
  <c r="AB82" i="11"/>
  <c r="AC82" i="11" s="1"/>
  <c r="X84" i="11"/>
  <c r="Y84" i="11" s="1"/>
  <c r="R87" i="11"/>
  <c r="S87" i="11" s="1"/>
  <c r="F93" i="11"/>
  <c r="G93" i="11" s="1"/>
  <c r="P88" i="11"/>
  <c r="Q88" i="11" s="1"/>
  <c r="N89" i="11"/>
  <c r="O89" i="11" s="1"/>
  <c r="L89" i="10"/>
  <c r="M89" i="10" s="1"/>
  <c r="P87" i="10"/>
  <c r="Q87" i="10" s="1"/>
  <c r="X83" i="10"/>
  <c r="Y83" i="10" s="1"/>
  <c r="D94" i="10"/>
  <c r="E94" i="10" s="1"/>
  <c r="V84" i="10"/>
  <c r="W84" i="10" s="1"/>
  <c r="H91" i="10"/>
  <c r="I91" i="10" s="1"/>
  <c r="R86" i="10"/>
  <c r="S86" i="10" s="1"/>
  <c r="F92" i="10"/>
  <c r="G92" i="10" s="1"/>
  <c r="B96" i="10"/>
  <c r="C96" i="10" s="1"/>
  <c r="J90" i="10"/>
  <c r="K90" i="10" s="1"/>
  <c r="AB81" i="10"/>
  <c r="AC81" i="10" s="1"/>
  <c r="AD80" i="10"/>
  <c r="AE80" i="10" s="1"/>
  <c r="N88" i="10"/>
  <c r="O88" i="10" s="1"/>
  <c r="T85" i="10"/>
  <c r="U85" i="10" s="1"/>
  <c r="Z82" i="10"/>
  <c r="AA82" i="10" s="1"/>
  <c r="AF79" i="10"/>
  <c r="AG79" i="10" s="1"/>
  <c r="P89" i="11" l="1"/>
  <c r="Q89" i="11" s="1"/>
  <c r="H93" i="11"/>
  <c r="I93" i="11" s="1"/>
  <c r="F94" i="11"/>
  <c r="G94" i="11" s="1"/>
  <c r="V86" i="11"/>
  <c r="W86" i="11" s="1"/>
  <c r="AF81" i="11"/>
  <c r="AG81" i="11" s="1"/>
  <c r="R88" i="11"/>
  <c r="S88" i="11" s="1"/>
  <c r="B96" i="11"/>
  <c r="C96" i="11" s="1"/>
  <c r="T87" i="11"/>
  <c r="U87" i="11" s="1"/>
  <c r="AB83" i="11"/>
  <c r="AC83" i="11" s="1"/>
  <c r="J92" i="11"/>
  <c r="K92" i="11" s="1"/>
  <c r="X85" i="11"/>
  <c r="Y85" i="11" s="1"/>
  <c r="L91" i="11"/>
  <c r="M91" i="11" s="1"/>
  <c r="Z84" i="11"/>
  <c r="AA84" i="11" s="1"/>
  <c r="AD82" i="11"/>
  <c r="AE82" i="11" s="1"/>
  <c r="N90" i="11"/>
  <c r="O90" i="11" s="1"/>
  <c r="D95" i="11"/>
  <c r="E95" i="11" s="1"/>
  <c r="AF80" i="10"/>
  <c r="AG80" i="10" s="1"/>
  <c r="AD81" i="10"/>
  <c r="AE81" i="10" s="1"/>
  <c r="F93" i="10"/>
  <c r="G93" i="10" s="1"/>
  <c r="D95" i="10"/>
  <c r="E95" i="10" s="1"/>
  <c r="Z83" i="10"/>
  <c r="AA83" i="10" s="1"/>
  <c r="AB82" i="10"/>
  <c r="AC82" i="10" s="1"/>
  <c r="R87" i="10"/>
  <c r="S87" i="10" s="1"/>
  <c r="X84" i="10"/>
  <c r="Y84" i="10" s="1"/>
  <c r="J91" i="10"/>
  <c r="K91" i="10" s="1"/>
  <c r="H92" i="10"/>
  <c r="I92" i="10" s="1"/>
  <c r="P88" i="10"/>
  <c r="Q88" i="10" s="1"/>
  <c r="T86" i="10"/>
  <c r="U86" i="10" s="1"/>
  <c r="N89" i="10"/>
  <c r="O89" i="10" s="1"/>
  <c r="B97" i="10"/>
  <c r="C97" i="10" s="1"/>
  <c r="V85" i="10"/>
  <c r="W85" i="10" s="1"/>
  <c r="L90" i="10"/>
  <c r="M90" i="10" s="1"/>
  <c r="L92" i="11" l="1"/>
  <c r="M92" i="11" s="1"/>
  <c r="V87" i="11"/>
  <c r="W87" i="11" s="1"/>
  <c r="X86" i="11"/>
  <c r="Y86" i="11" s="1"/>
  <c r="B97" i="11"/>
  <c r="C97" i="11" s="1"/>
  <c r="F95" i="11"/>
  <c r="G95" i="11" s="1"/>
  <c r="AD83" i="11"/>
  <c r="AE83" i="11" s="1"/>
  <c r="R89" i="11"/>
  <c r="S89" i="11" s="1"/>
  <c r="H94" i="11"/>
  <c r="I94" i="11" s="1"/>
  <c r="T88" i="11"/>
  <c r="U88" i="11" s="1"/>
  <c r="J93" i="11"/>
  <c r="K93" i="11" s="1"/>
  <c r="Z85" i="11"/>
  <c r="AA85" i="11" s="1"/>
  <c r="AB84" i="11"/>
  <c r="AC84" i="11" s="1"/>
  <c r="AF82" i="11"/>
  <c r="AG82" i="11" s="1"/>
  <c r="P90" i="11"/>
  <c r="Q90" i="11" s="1"/>
  <c r="D96" i="11"/>
  <c r="E96" i="11" s="1"/>
  <c r="N91" i="11"/>
  <c r="O91" i="11" s="1"/>
  <c r="L91" i="10"/>
  <c r="M91" i="10" s="1"/>
  <c r="T87" i="10"/>
  <c r="U87" i="10" s="1"/>
  <c r="X85" i="10"/>
  <c r="Y85" i="10" s="1"/>
  <c r="D96" i="10"/>
  <c r="E96" i="10" s="1"/>
  <c r="P89" i="10"/>
  <c r="Q89" i="10" s="1"/>
  <c r="R88" i="10"/>
  <c r="S88" i="10" s="1"/>
  <c r="F94" i="10"/>
  <c r="G94" i="10" s="1"/>
  <c r="B98" i="10"/>
  <c r="C98" i="10" s="1"/>
  <c r="AB83" i="10"/>
  <c r="AC83" i="10" s="1"/>
  <c r="AD82" i="10"/>
  <c r="AE82" i="10" s="1"/>
  <c r="V86" i="10"/>
  <c r="W86" i="10" s="1"/>
  <c r="H93" i="10"/>
  <c r="I93" i="10" s="1"/>
  <c r="N90" i="10"/>
  <c r="O90" i="10" s="1"/>
  <c r="J92" i="10"/>
  <c r="K92" i="10" s="1"/>
  <c r="Z84" i="10"/>
  <c r="AA84" i="10" s="1"/>
  <c r="AF81" i="10"/>
  <c r="AG81" i="10" s="1"/>
  <c r="B98" i="11" l="1"/>
  <c r="C98" i="11" s="1"/>
  <c r="P91" i="11"/>
  <c r="Q91" i="11" s="1"/>
  <c r="J94" i="11"/>
  <c r="K94" i="11" s="1"/>
  <c r="R90" i="11"/>
  <c r="S90" i="11" s="1"/>
  <c r="X87" i="11"/>
  <c r="Y87" i="11" s="1"/>
  <c r="Z86" i="11"/>
  <c r="AA86" i="11" s="1"/>
  <c r="T89" i="11"/>
  <c r="U89" i="11" s="1"/>
  <c r="V88" i="11"/>
  <c r="W88" i="11" s="1"/>
  <c r="AF83" i="11"/>
  <c r="AG83" i="11" s="1"/>
  <c r="AD84" i="11"/>
  <c r="AE84" i="11" s="1"/>
  <c r="AB85" i="11"/>
  <c r="AC85" i="11" s="1"/>
  <c r="F96" i="11"/>
  <c r="G96" i="11" s="1"/>
  <c r="L93" i="11"/>
  <c r="M93" i="11" s="1"/>
  <c r="N92" i="11"/>
  <c r="O92" i="11" s="1"/>
  <c r="H95" i="11"/>
  <c r="I95" i="11" s="1"/>
  <c r="D97" i="11"/>
  <c r="E97" i="11" s="1"/>
  <c r="Z85" i="10"/>
  <c r="AA85" i="10" s="1"/>
  <c r="V87" i="10"/>
  <c r="W87" i="10" s="1"/>
  <c r="D97" i="10"/>
  <c r="E97" i="10" s="1"/>
  <c r="N91" i="10"/>
  <c r="O91" i="10" s="1"/>
  <c r="J93" i="10"/>
  <c r="K93" i="10" s="1"/>
  <c r="AD83" i="10"/>
  <c r="AE83" i="10" s="1"/>
  <c r="X86" i="10"/>
  <c r="Y86" i="10" s="1"/>
  <c r="AB84" i="10"/>
  <c r="AC84" i="10" s="1"/>
  <c r="R89" i="10"/>
  <c r="S89" i="10" s="1"/>
  <c r="T88" i="10"/>
  <c r="U88" i="10" s="1"/>
  <c r="AF82" i="10"/>
  <c r="AG82" i="10" s="1"/>
  <c r="H94" i="10"/>
  <c r="I94" i="10" s="1"/>
  <c r="B99" i="10"/>
  <c r="C99" i="10" s="1"/>
  <c r="P90" i="10"/>
  <c r="Q90" i="10" s="1"/>
  <c r="L92" i="10"/>
  <c r="M92" i="10" s="1"/>
  <c r="F95" i="10"/>
  <c r="G95" i="10" s="1"/>
  <c r="F97" i="11" l="1"/>
  <c r="G97" i="11" s="1"/>
  <c r="R91" i="11"/>
  <c r="S91" i="11" s="1"/>
  <c r="AB86" i="11"/>
  <c r="AC86" i="11" s="1"/>
  <c r="T90" i="11"/>
  <c r="U90" i="11" s="1"/>
  <c r="J95" i="11"/>
  <c r="K95" i="11" s="1"/>
  <c r="AD85" i="11"/>
  <c r="AE85" i="11" s="1"/>
  <c r="Z87" i="11"/>
  <c r="AA87" i="11" s="1"/>
  <c r="P92" i="11"/>
  <c r="Q92" i="11" s="1"/>
  <c r="V89" i="11"/>
  <c r="W89" i="11" s="1"/>
  <c r="L94" i="11"/>
  <c r="M94" i="11" s="1"/>
  <c r="AF84" i="11"/>
  <c r="AG84" i="11" s="1"/>
  <c r="X88" i="11"/>
  <c r="Y88" i="11" s="1"/>
  <c r="B99" i="11"/>
  <c r="C99" i="11" s="1"/>
  <c r="D98" i="11"/>
  <c r="E98" i="11" s="1"/>
  <c r="H96" i="11"/>
  <c r="I96" i="11" s="1"/>
  <c r="N93" i="11"/>
  <c r="O93" i="11" s="1"/>
  <c r="F96" i="10"/>
  <c r="G96" i="10" s="1"/>
  <c r="AB85" i="10"/>
  <c r="AC85" i="10" s="1"/>
  <c r="N92" i="10"/>
  <c r="O92" i="10" s="1"/>
  <c r="L93" i="10"/>
  <c r="M93" i="10" s="1"/>
  <c r="AF83" i="10"/>
  <c r="AG83" i="10" s="1"/>
  <c r="X87" i="10"/>
  <c r="Y87" i="10" s="1"/>
  <c r="D98" i="10"/>
  <c r="E98" i="10" s="1"/>
  <c r="P91" i="10"/>
  <c r="Q91" i="10" s="1"/>
  <c r="AD84" i="10"/>
  <c r="AE84" i="10" s="1"/>
  <c r="V88" i="10"/>
  <c r="W88" i="10" s="1"/>
  <c r="H95" i="10"/>
  <c r="I95" i="10" s="1"/>
  <c r="T89" i="10"/>
  <c r="U89" i="10" s="1"/>
  <c r="B100" i="10"/>
  <c r="C100" i="10" s="1"/>
  <c r="R90" i="10"/>
  <c r="S90" i="10" s="1"/>
  <c r="J94" i="10"/>
  <c r="K94" i="10" s="1"/>
  <c r="Z86" i="10"/>
  <c r="AA86" i="10" s="1"/>
  <c r="T91" i="11" l="1"/>
  <c r="U91" i="11" s="1"/>
  <c r="N94" i="11"/>
  <c r="O94" i="11" s="1"/>
  <c r="Z88" i="11"/>
  <c r="AA88" i="11" s="1"/>
  <c r="AB87" i="11"/>
  <c r="AC87" i="11" s="1"/>
  <c r="AF85" i="11"/>
  <c r="AG85" i="11" s="1"/>
  <c r="AD86" i="11"/>
  <c r="AE86" i="11" s="1"/>
  <c r="R92" i="11"/>
  <c r="S92" i="11" s="1"/>
  <c r="P93" i="11"/>
  <c r="Q93" i="11" s="1"/>
  <c r="B100" i="11"/>
  <c r="C100" i="11" s="1"/>
  <c r="X89" i="11"/>
  <c r="Y89" i="11" s="1"/>
  <c r="V90" i="11"/>
  <c r="W90" i="11" s="1"/>
  <c r="J96" i="11"/>
  <c r="K96" i="11" s="1"/>
  <c r="F98" i="11"/>
  <c r="G98" i="11" s="1"/>
  <c r="D99" i="11"/>
  <c r="E99" i="11" s="1"/>
  <c r="H97" i="11"/>
  <c r="I97" i="11" s="1"/>
  <c r="L95" i="11"/>
  <c r="M95" i="11" s="1"/>
  <c r="T90" i="10"/>
  <c r="U90" i="10" s="1"/>
  <c r="P92" i="10"/>
  <c r="Q92" i="10" s="1"/>
  <c r="L94" i="10"/>
  <c r="M94" i="10" s="1"/>
  <c r="J95" i="10"/>
  <c r="K95" i="10" s="1"/>
  <c r="H96" i="10"/>
  <c r="I96" i="10" s="1"/>
  <c r="D99" i="10"/>
  <c r="E99" i="10" s="1"/>
  <c r="N93" i="10"/>
  <c r="O93" i="10" s="1"/>
  <c r="R91" i="10"/>
  <c r="S91" i="10" s="1"/>
  <c r="X88" i="10"/>
  <c r="Y88" i="10" s="1"/>
  <c r="AB86" i="10"/>
  <c r="AC86" i="10" s="1"/>
  <c r="Z87" i="10"/>
  <c r="AA87" i="10" s="1"/>
  <c r="V89" i="10"/>
  <c r="W89" i="10" s="1"/>
  <c r="B101" i="10"/>
  <c r="C101" i="10" s="1"/>
  <c r="AD85" i="10"/>
  <c r="AE85" i="10" s="1"/>
  <c r="AF84" i="10"/>
  <c r="AG84" i="10" s="1"/>
  <c r="F97" i="10"/>
  <c r="G97" i="10" s="1"/>
  <c r="V91" i="11" l="1"/>
  <c r="W91" i="11" s="1"/>
  <c r="AB88" i="11"/>
  <c r="AC88" i="11" s="1"/>
  <c r="X90" i="11"/>
  <c r="Y90" i="11" s="1"/>
  <c r="R93" i="11"/>
  <c r="S93" i="11" s="1"/>
  <c r="Z89" i="11"/>
  <c r="AA89" i="11" s="1"/>
  <c r="F99" i="11"/>
  <c r="G99" i="11" s="1"/>
  <c r="AD87" i="11"/>
  <c r="AE87" i="11" s="1"/>
  <c r="N95" i="11"/>
  <c r="O95" i="11" s="1"/>
  <c r="B101" i="11"/>
  <c r="C101" i="11" s="1"/>
  <c r="J97" i="11"/>
  <c r="K97" i="11" s="1"/>
  <c r="AF86" i="11"/>
  <c r="AG86" i="11" s="1"/>
  <c r="T92" i="11"/>
  <c r="U92" i="11" s="1"/>
  <c r="P94" i="11"/>
  <c r="Q94" i="11" s="1"/>
  <c r="L96" i="11"/>
  <c r="M96" i="11" s="1"/>
  <c r="D100" i="11"/>
  <c r="E100" i="11" s="1"/>
  <c r="H98" i="11"/>
  <c r="I98" i="11" s="1"/>
  <c r="F98" i="10"/>
  <c r="G98" i="10" s="1"/>
  <c r="V90" i="10"/>
  <c r="W90" i="10" s="1"/>
  <c r="AF85" i="10"/>
  <c r="AG85" i="10" s="1"/>
  <c r="AD86" i="10"/>
  <c r="AE86" i="10" s="1"/>
  <c r="N94" i="10"/>
  <c r="O94" i="10" s="1"/>
  <c r="AB87" i="10"/>
  <c r="AC87" i="10" s="1"/>
  <c r="R92" i="10"/>
  <c r="S92" i="10" s="1"/>
  <c r="D100" i="10"/>
  <c r="E100" i="10" s="1"/>
  <c r="J96" i="10"/>
  <c r="K96" i="10" s="1"/>
  <c r="P93" i="10"/>
  <c r="Q93" i="10" s="1"/>
  <c r="B102" i="10"/>
  <c r="C102" i="10" s="1"/>
  <c r="Z88" i="10"/>
  <c r="AA88" i="10" s="1"/>
  <c r="X89" i="10"/>
  <c r="Y89" i="10" s="1"/>
  <c r="H97" i="10"/>
  <c r="I97" i="10" s="1"/>
  <c r="L95" i="10"/>
  <c r="M95" i="10" s="1"/>
  <c r="T91" i="10"/>
  <c r="U91" i="10" s="1"/>
  <c r="T93" i="11" l="1"/>
  <c r="U93" i="11" s="1"/>
  <c r="R94" i="11"/>
  <c r="S94" i="11" s="1"/>
  <c r="AF87" i="11"/>
  <c r="AG87" i="11" s="1"/>
  <c r="AD88" i="11"/>
  <c r="AE88" i="11" s="1"/>
  <c r="X91" i="11"/>
  <c r="Y91" i="11" s="1"/>
  <c r="J98" i="11"/>
  <c r="K98" i="11" s="1"/>
  <c r="AB89" i="11"/>
  <c r="AC89" i="11" s="1"/>
  <c r="N96" i="11"/>
  <c r="O96" i="11" s="1"/>
  <c r="F100" i="11"/>
  <c r="G100" i="11" s="1"/>
  <c r="B102" i="11"/>
  <c r="C102" i="11" s="1"/>
  <c r="Z90" i="11"/>
  <c r="AA90" i="11" s="1"/>
  <c r="V92" i="11"/>
  <c r="W92" i="11" s="1"/>
  <c r="H99" i="11"/>
  <c r="I99" i="11" s="1"/>
  <c r="L97" i="11"/>
  <c r="M97" i="11" s="1"/>
  <c r="D101" i="11"/>
  <c r="E101" i="11" s="1"/>
  <c r="P95" i="11"/>
  <c r="Q95" i="11" s="1"/>
  <c r="B103" i="10"/>
  <c r="C103" i="10" s="1"/>
  <c r="R93" i="10"/>
  <c r="S93" i="10" s="1"/>
  <c r="AD87" i="10"/>
  <c r="AE87" i="10" s="1"/>
  <c r="H98" i="10"/>
  <c r="I98" i="10" s="1"/>
  <c r="P94" i="10"/>
  <c r="Q94" i="10" s="1"/>
  <c r="AB88" i="10"/>
  <c r="AC88" i="10" s="1"/>
  <c r="AF86" i="10"/>
  <c r="AG86" i="10" s="1"/>
  <c r="X90" i="10"/>
  <c r="Y90" i="10" s="1"/>
  <c r="J97" i="10"/>
  <c r="K97" i="10" s="1"/>
  <c r="V91" i="10"/>
  <c r="W91" i="10" s="1"/>
  <c r="L96" i="10"/>
  <c r="M96" i="10" s="1"/>
  <c r="T92" i="10"/>
  <c r="U92" i="10" s="1"/>
  <c r="Z89" i="10"/>
  <c r="AA89" i="10" s="1"/>
  <c r="D101" i="10"/>
  <c r="E101" i="10" s="1"/>
  <c r="F99" i="10"/>
  <c r="G99" i="10" s="1"/>
  <c r="N95" i="10"/>
  <c r="O95" i="10" s="1"/>
  <c r="V93" i="11" l="1"/>
  <c r="W93" i="11" s="1"/>
  <c r="AD89" i="11"/>
  <c r="AE89" i="11" s="1"/>
  <c r="Z91" i="11"/>
  <c r="AA91" i="11" s="1"/>
  <c r="AB90" i="11"/>
  <c r="AC90" i="11" s="1"/>
  <c r="AF88" i="11"/>
  <c r="AG88" i="11" s="1"/>
  <c r="J99" i="11"/>
  <c r="K99" i="11" s="1"/>
  <c r="R95" i="11"/>
  <c r="S95" i="11" s="1"/>
  <c r="N97" i="11"/>
  <c r="O97" i="11" s="1"/>
  <c r="B103" i="11"/>
  <c r="C103" i="11" s="1"/>
  <c r="F101" i="11"/>
  <c r="G101" i="11" s="1"/>
  <c r="X92" i="11"/>
  <c r="Y92" i="11" s="1"/>
  <c r="T94" i="11"/>
  <c r="U94" i="11" s="1"/>
  <c r="P96" i="11"/>
  <c r="Q96" i="11" s="1"/>
  <c r="D102" i="11"/>
  <c r="E102" i="11" s="1"/>
  <c r="H100" i="11"/>
  <c r="I100" i="11" s="1"/>
  <c r="L98" i="11"/>
  <c r="M98" i="11" s="1"/>
  <c r="N96" i="10"/>
  <c r="O96" i="10" s="1"/>
  <c r="T93" i="10"/>
  <c r="U93" i="10" s="1"/>
  <c r="X91" i="10"/>
  <c r="Y91" i="10" s="1"/>
  <c r="H99" i="10"/>
  <c r="I99" i="10" s="1"/>
  <c r="F100" i="10"/>
  <c r="G100" i="10" s="1"/>
  <c r="L97" i="10"/>
  <c r="M97" i="10" s="1"/>
  <c r="AF87" i="10"/>
  <c r="AG87" i="10" s="1"/>
  <c r="AD88" i="10"/>
  <c r="AE88" i="10" s="1"/>
  <c r="V92" i="10"/>
  <c r="W92" i="10" s="1"/>
  <c r="AB89" i="10"/>
  <c r="AC89" i="10" s="1"/>
  <c r="R94" i="10"/>
  <c r="S94" i="10" s="1"/>
  <c r="D102" i="10"/>
  <c r="E102" i="10" s="1"/>
  <c r="Z90" i="10"/>
  <c r="AA90" i="10" s="1"/>
  <c r="J98" i="10"/>
  <c r="K98" i="10" s="1"/>
  <c r="P95" i="10"/>
  <c r="Q95" i="10" s="1"/>
  <c r="B104" i="10"/>
  <c r="C104" i="10" s="1"/>
  <c r="AB91" i="11" l="1"/>
  <c r="AC91" i="11" s="1"/>
  <c r="X93" i="11"/>
  <c r="Y93" i="11" s="1"/>
  <c r="R96" i="11"/>
  <c r="S96" i="11" s="1"/>
  <c r="Z92" i="11"/>
  <c r="AA92" i="11" s="1"/>
  <c r="F102" i="11"/>
  <c r="G102" i="11" s="1"/>
  <c r="AD90" i="11"/>
  <c r="AE90" i="11" s="1"/>
  <c r="N98" i="11"/>
  <c r="O98" i="11" s="1"/>
  <c r="J100" i="11"/>
  <c r="K100" i="11" s="1"/>
  <c r="B104" i="11"/>
  <c r="C104" i="11" s="1"/>
  <c r="AF89" i="11"/>
  <c r="AG89" i="11" s="1"/>
  <c r="V94" i="11"/>
  <c r="W94" i="11" s="1"/>
  <c r="L99" i="11"/>
  <c r="M99" i="11" s="1"/>
  <c r="D103" i="11"/>
  <c r="E103" i="11" s="1"/>
  <c r="T95" i="11"/>
  <c r="U95" i="11" s="1"/>
  <c r="H101" i="11"/>
  <c r="I101" i="11" s="1"/>
  <c r="P97" i="11"/>
  <c r="Q97" i="11" s="1"/>
  <c r="D103" i="10"/>
  <c r="E103" i="10" s="1"/>
  <c r="AD89" i="10"/>
  <c r="AE89" i="10" s="1"/>
  <c r="H100" i="10"/>
  <c r="I100" i="10" s="1"/>
  <c r="P96" i="10"/>
  <c r="Q96" i="10" s="1"/>
  <c r="R95" i="10"/>
  <c r="S95" i="10" s="1"/>
  <c r="AF88" i="10"/>
  <c r="AG88" i="10" s="1"/>
  <c r="X92" i="10"/>
  <c r="Y92" i="10" s="1"/>
  <c r="J99" i="10"/>
  <c r="K99" i="10" s="1"/>
  <c r="L98" i="10"/>
  <c r="M98" i="10" s="1"/>
  <c r="T94" i="10"/>
  <c r="U94" i="10" s="1"/>
  <c r="B105" i="10"/>
  <c r="C105" i="10" s="1"/>
  <c r="AB90" i="10"/>
  <c r="AC90" i="10" s="1"/>
  <c r="Z91" i="10"/>
  <c r="AA91" i="10" s="1"/>
  <c r="V93" i="10"/>
  <c r="W93" i="10" s="1"/>
  <c r="F101" i="10"/>
  <c r="G101" i="10" s="1"/>
  <c r="N97" i="10"/>
  <c r="O97" i="10" s="1"/>
  <c r="V95" i="11" l="1"/>
  <c r="W95" i="11" s="1"/>
  <c r="N99" i="11"/>
  <c r="O99" i="11" s="1"/>
  <c r="R97" i="11"/>
  <c r="S97" i="11" s="1"/>
  <c r="AF90" i="11"/>
  <c r="AG90" i="11" s="1"/>
  <c r="AD91" i="11"/>
  <c r="AE91" i="11" s="1"/>
  <c r="F103" i="11"/>
  <c r="G103" i="11" s="1"/>
  <c r="B105" i="11"/>
  <c r="C105" i="11" s="1"/>
  <c r="J101" i="11"/>
  <c r="K101" i="11" s="1"/>
  <c r="Z93" i="11"/>
  <c r="AA93" i="11" s="1"/>
  <c r="AB92" i="11"/>
  <c r="AC92" i="11" s="1"/>
  <c r="T96" i="11"/>
  <c r="U96" i="11" s="1"/>
  <c r="P98" i="11"/>
  <c r="Q98" i="11" s="1"/>
  <c r="L100" i="11"/>
  <c r="M100" i="11" s="1"/>
  <c r="X94" i="11"/>
  <c r="Y94" i="11" s="1"/>
  <c r="H102" i="11"/>
  <c r="I102" i="11" s="1"/>
  <c r="D104" i="11"/>
  <c r="E104" i="11" s="1"/>
  <c r="F102" i="10"/>
  <c r="G102" i="10" s="1"/>
  <c r="AB91" i="10"/>
  <c r="AC91" i="10" s="1"/>
  <c r="J100" i="10"/>
  <c r="K100" i="10" s="1"/>
  <c r="P97" i="10"/>
  <c r="Q97" i="10" s="1"/>
  <c r="B106" i="10"/>
  <c r="C106" i="10" s="1"/>
  <c r="X93" i="10"/>
  <c r="Y93" i="10" s="1"/>
  <c r="H101" i="10"/>
  <c r="I101" i="10" s="1"/>
  <c r="T95" i="10"/>
  <c r="U95" i="10" s="1"/>
  <c r="AF89" i="10"/>
  <c r="AG89" i="10" s="1"/>
  <c r="AD90" i="10"/>
  <c r="AE90" i="10" s="1"/>
  <c r="N98" i="10"/>
  <c r="O98" i="10" s="1"/>
  <c r="Z92" i="10"/>
  <c r="AA92" i="10" s="1"/>
  <c r="L99" i="10"/>
  <c r="M99" i="10" s="1"/>
  <c r="R96" i="10"/>
  <c r="S96" i="10" s="1"/>
  <c r="D104" i="10"/>
  <c r="E104" i="10" s="1"/>
  <c r="V94" i="10"/>
  <c r="W94" i="10" s="1"/>
  <c r="AF91" i="11" l="1"/>
  <c r="AG91" i="11" s="1"/>
  <c r="AB93" i="11"/>
  <c r="AC93" i="11" s="1"/>
  <c r="R98" i="11"/>
  <c r="S98" i="11" s="1"/>
  <c r="F104" i="11"/>
  <c r="G104" i="11" s="1"/>
  <c r="N100" i="11"/>
  <c r="O100" i="11" s="1"/>
  <c r="D105" i="11"/>
  <c r="E105" i="11" s="1"/>
  <c r="Z94" i="11"/>
  <c r="AA94" i="11" s="1"/>
  <c r="J102" i="11"/>
  <c r="K102" i="11" s="1"/>
  <c r="AD92" i="11"/>
  <c r="AE92" i="11" s="1"/>
  <c r="V96" i="11"/>
  <c r="W96" i="11" s="1"/>
  <c r="H103" i="11"/>
  <c r="I103" i="11" s="1"/>
  <c r="L101" i="11"/>
  <c r="M101" i="11" s="1"/>
  <c r="T97" i="11"/>
  <c r="U97" i="11" s="1"/>
  <c r="X95" i="11"/>
  <c r="Y95" i="11" s="1"/>
  <c r="P99" i="11"/>
  <c r="Q99" i="11" s="1"/>
  <c r="B106" i="11"/>
  <c r="C106" i="11" s="1"/>
  <c r="AD91" i="10"/>
  <c r="AE91" i="10" s="1"/>
  <c r="V95" i="10"/>
  <c r="W95" i="10" s="1"/>
  <c r="D105" i="10"/>
  <c r="E105" i="10" s="1"/>
  <c r="L100" i="10"/>
  <c r="M100" i="10" s="1"/>
  <c r="Z93" i="10"/>
  <c r="AA93" i="10" s="1"/>
  <c r="R97" i="10"/>
  <c r="S97" i="10" s="1"/>
  <c r="T96" i="10"/>
  <c r="U96" i="10" s="1"/>
  <c r="X94" i="10"/>
  <c r="Y94" i="10" s="1"/>
  <c r="P98" i="10"/>
  <c r="Q98" i="10" s="1"/>
  <c r="AB92" i="10"/>
  <c r="AC92" i="10" s="1"/>
  <c r="N99" i="10"/>
  <c r="O99" i="10" s="1"/>
  <c r="AF90" i="10"/>
  <c r="AG90" i="10" s="1"/>
  <c r="H102" i="10"/>
  <c r="I102" i="10" s="1"/>
  <c r="B107" i="10"/>
  <c r="C107" i="10" s="1"/>
  <c r="J101" i="10"/>
  <c r="K101" i="10" s="1"/>
  <c r="F103" i="10"/>
  <c r="G103" i="10" s="1"/>
  <c r="V97" i="11" l="1"/>
  <c r="W97" i="11" s="1"/>
  <c r="D106" i="11"/>
  <c r="E106" i="11" s="1"/>
  <c r="AD93" i="11"/>
  <c r="AE93" i="11" s="1"/>
  <c r="N101" i="11"/>
  <c r="O101" i="11" s="1"/>
  <c r="J103" i="11"/>
  <c r="K103" i="11" s="1"/>
  <c r="R99" i="11"/>
  <c r="S99" i="11" s="1"/>
  <c r="Z95" i="11"/>
  <c r="AA95" i="11" s="1"/>
  <c r="AF92" i="11"/>
  <c r="AG92" i="11" s="1"/>
  <c r="B107" i="11"/>
  <c r="C107" i="11" s="1"/>
  <c r="F105" i="11"/>
  <c r="G105" i="11" s="1"/>
  <c r="AB94" i="11"/>
  <c r="AC94" i="11" s="1"/>
  <c r="T98" i="11"/>
  <c r="U98" i="11" s="1"/>
  <c r="X96" i="11"/>
  <c r="Y96" i="11" s="1"/>
  <c r="L102" i="11"/>
  <c r="M102" i="11" s="1"/>
  <c r="P100" i="11"/>
  <c r="Q100" i="11" s="1"/>
  <c r="H104" i="11"/>
  <c r="I104" i="11" s="1"/>
  <c r="X95" i="10"/>
  <c r="Y95" i="10" s="1"/>
  <c r="L101" i="10"/>
  <c r="M101" i="10" s="1"/>
  <c r="AF91" i="10"/>
  <c r="AG91" i="10" s="1"/>
  <c r="J102" i="10"/>
  <c r="K102" i="10" s="1"/>
  <c r="N100" i="10"/>
  <c r="O100" i="10" s="1"/>
  <c r="T97" i="10"/>
  <c r="U97" i="10" s="1"/>
  <c r="D106" i="10"/>
  <c r="E106" i="10" s="1"/>
  <c r="F104" i="10"/>
  <c r="G104" i="10" s="1"/>
  <c r="AB93" i="10"/>
  <c r="AC93" i="10" s="1"/>
  <c r="V96" i="10"/>
  <c r="W96" i="10" s="1"/>
  <c r="B108" i="10"/>
  <c r="C108" i="10" s="1"/>
  <c r="R98" i="10"/>
  <c r="S98" i="10" s="1"/>
  <c r="H103" i="10"/>
  <c r="I103" i="10" s="1"/>
  <c r="P99" i="10"/>
  <c r="Q99" i="10" s="1"/>
  <c r="Z94" i="10"/>
  <c r="AA94" i="10" s="1"/>
  <c r="AD92" i="10"/>
  <c r="AE92" i="10" s="1"/>
  <c r="H105" i="11" l="1"/>
  <c r="I105" i="11" s="1"/>
  <c r="N102" i="11"/>
  <c r="O102" i="11" s="1"/>
  <c r="Z96" i="11"/>
  <c r="AA96" i="11" s="1"/>
  <c r="AD94" i="11"/>
  <c r="AE94" i="11" s="1"/>
  <c r="D107" i="11"/>
  <c r="E107" i="11" s="1"/>
  <c r="R100" i="11"/>
  <c r="S100" i="11" s="1"/>
  <c r="J104" i="11"/>
  <c r="K104" i="11" s="1"/>
  <c r="V98" i="11"/>
  <c r="W98" i="11" s="1"/>
  <c r="L103" i="11"/>
  <c r="M103" i="11" s="1"/>
  <c r="F106" i="11"/>
  <c r="G106" i="11" s="1"/>
  <c r="T99" i="11"/>
  <c r="U99" i="11" s="1"/>
  <c r="AF93" i="11"/>
  <c r="AG93" i="11" s="1"/>
  <c r="P101" i="11"/>
  <c r="Q101" i="11" s="1"/>
  <c r="X97" i="11"/>
  <c r="Y97" i="11" s="1"/>
  <c r="AB95" i="11"/>
  <c r="AC95" i="11" s="1"/>
  <c r="B108" i="11"/>
  <c r="C108" i="11" s="1"/>
  <c r="R99" i="10"/>
  <c r="S99" i="10" s="1"/>
  <c r="F105" i="10"/>
  <c r="G105" i="10" s="1"/>
  <c r="J103" i="10"/>
  <c r="K103" i="10" s="1"/>
  <c r="Z95" i="10"/>
  <c r="AA95" i="10" s="1"/>
  <c r="B109" i="10"/>
  <c r="C109" i="10" s="1"/>
  <c r="D107" i="10"/>
  <c r="E107" i="10" s="1"/>
  <c r="AF92" i="10"/>
  <c r="AG92" i="10" s="1"/>
  <c r="P100" i="10"/>
  <c r="Q100" i="10" s="1"/>
  <c r="T98" i="10"/>
  <c r="U98" i="10" s="1"/>
  <c r="L102" i="10"/>
  <c r="M102" i="10" s="1"/>
  <c r="AD93" i="10"/>
  <c r="AE93" i="10" s="1"/>
  <c r="V97" i="10"/>
  <c r="W97" i="10" s="1"/>
  <c r="H104" i="10"/>
  <c r="I104" i="10" s="1"/>
  <c r="AB94" i="10"/>
  <c r="AC94" i="10" s="1"/>
  <c r="N101" i="10"/>
  <c r="O101" i="10" s="1"/>
  <c r="X96" i="10"/>
  <c r="Y96" i="10" s="1"/>
  <c r="AD95" i="11" l="1"/>
  <c r="AE95" i="11" s="1"/>
  <c r="J105" i="11"/>
  <c r="K105" i="11" s="1"/>
  <c r="Z97" i="11"/>
  <c r="AA97" i="11" s="1"/>
  <c r="N103" i="11"/>
  <c r="O103" i="11" s="1"/>
  <c r="V99" i="11"/>
  <c r="W99" i="11" s="1"/>
  <c r="R101" i="11"/>
  <c r="S101" i="11" s="1"/>
  <c r="D108" i="11"/>
  <c r="E108" i="11" s="1"/>
  <c r="H106" i="11"/>
  <c r="I106" i="11" s="1"/>
  <c r="AF94" i="11"/>
  <c r="AG94" i="11" s="1"/>
  <c r="X98" i="11"/>
  <c r="Y98" i="11" s="1"/>
  <c r="AB96" i="11"/>
  <c r="AC96" i="11" s="1"/>
  <c r="P102" i="11"/>
  <c r="Q102" i="11" s="1"/>
  <c r="T100" i="11"/>
  <c r="U100" i="11" s="1"/>
  <c r="L104" i="11"/>
  <c r="M104" i="11" s="1"/>
  <c r="B109" i="11"/>
  <c r="C109" i="11" s="1"/>
  <c r="F107" i="11"/>
  <c r="G107" i="11" s="1"/>
  <c r="X97" i="10"/>
  <c r="Y97" i="10" s="1"/>
  <c r="V98" i="10"/>
  <c r="W98" i="10" s="1"/>
  <c r="AB95" i="10"/>
  <c r="AC95" i="10" s="1"/>
  <c r="AD94" i="10"/>
  <c r="AE94" i="10" s="1"/>
  <c r="L103" i="10"/>
  <c r="M103" i="10" s="1"/>
  <c r="P101" i="10"/>
  <c r="Q101" i="10" s="1"/>
  <c r="D108" i="10"/>
  <c r="E108" i="10" s="1"/>
  <c r="Z96" i="10"/>
  <c r="AA96" i="10" s="1"/>
  <c r="F106" i="10"/>
  <c r="G106" i="10" s="1"/>
  <c r="N102" i="10"/>
  <c r="O102" i="10" s="1"/>
  <c r="H105" i="10"/>
  <c r="I105" i="10" s="1"/>
  <c r="T99" i="10"/>
  <c r="U99" i="10" s="1"/>
  <c r="AF93" i="10"/>
  <c r="AG93" i="10" s="1"/>
  <c r="B110" i="10"/>
  <c r="C110" i="10" s="1"/>
  <c r="J104" i="10"/>
  <c r="K104" i="10" s="1"/>
  <c r="R100" i="10"/>
  <c r="S100" i="10" s="1"/>
  <c r="D109" i="11" l="1"/>
  <c r="E109" i="11" s="1"/>
  <c r="Z98" i="11"/>
  <c r="AA98" i="11" s="1"/>
  <c r="R102" i="11"/>
  <c r="S102" i="11" s="1"/>
  <c r="V100" i="11"/>
  <c r="W100" i="11" s="1"/>
  <c r="L105" i="11"/>
  <c r="M105" i="11" s="1"/>
  <c r="H107" i="11"/>
  <c r="I107" i="11" s="1"/>
  <c r="N104" i="11"/>
  <c r="O104" i="11" s="1"/>
  <c r="AD96" i="11"/>
  <c r="AE96" i="11" s="1"/>
  <c r="F108" i="11"/>
  <c r="G108" i="11" s="1"/>
  <c r="P103" i="11"/>
  <c r="Q103" i="11" s="1"/>
  <c r="X99" i="11"/>
  <c r="Y99" i="11" s="1"/>
  <c r="J106" i="11"/>
  <c r="K106" i="11" s="1"/>
  <c r="AB97" i="11"/>
  <c r="AC97" i="11" s="1"/>
  <c r="B110" i="11"/>
  <c r="C110" i="11" s="1"/>
  <c r="T101" i="11"/>
  <c r="U101" i="11" s="1"/>
  <c r="AF95" i="11"/>
  <c r="AG95" i="11" s="1"/>
  <c r="R101" i="10"/>
  <c r="S101" i="10" s="1"/>
  <c r="T100" i="10"/>
  <c r="U100" i="10" s="1"/>
  <c r="Z97" i="10"/>
  <c r="AA97" i="10" s="1"/>
  <c r="AD95" i="10"/>
  <c r="AE95" i="10" s="1"/>
  <c r="J105" i="10"/>
  <c r="K105" i="10" s="1"/>
  <c r="H106" i="10"/>
  <c r="I106" i="10" s="1"/>
  <c r="D109" i="10"/>
  <c r="E109" i="10" s="1"/>
  <c r="AB96" i="10"/>
  <c r="AC96" i="10" s="1"/>
  <c r="N103" i="10"/>
  <c r="O103" i="10" s="1"/>
  <c r="P102" i="10"/>
  <c r="Q102" i="10" s="1"/>
  <c r="V99" i="10"/>
  <c r="W99" i="10" s="1"/>
  <c r="B111" i="10"/>
  <c r="C111" i="10" s="1"/>
  <c r="AF94" i="10"/>
  <c r="AG94" i="10" s="1"/>
  <c r="F107" i="10"/>
  <c r="G107" i="10" s="1"/>
  <c r="L104" i="10"/>
  <c r="M104" i="10" s="1"/>
  <c r="X98" i="10"/>
  <c r="Y98" i="10" s="1"/>
  <c r="AD97" i="11" l="1"/>
  <c r="AE97" i="11" s="1"/>
  <c r="V101" i="11"/>
  <c r="W101" i="11" s="1"/>
  <c r="N105" i="11"/>
  <c r="O105" i="11" s="1"/>
  <c r="R103" i="11"/>
  <c r="S103" i="11" s="1"/>
  <c r="Z99" i="11"/>
  <c r="AA99" i="11" s="1"/>
  <c r="H108" i="11"/>
  <c r="I108" i="11" s="1"/>
  <c r="L106" i="11"/>
  <c r="M106" i="11" s="1"/>
  <c r="D110" i="11"/>
  <c r="E110" i="11" s="1"/>
  <c r="AF96" i="11"/>
  <c r="AG96" i="11" s="1"/>
  <c r="J107" i="11"/>
  <c r="K107" i="11" s="1"/>
  <c r="P104" i="11"/>
  <c r="Q104" i="11" s="1"/>
  <c r="AB98" i="11"/>
  <c r="AC98" i="11" s="1"/>
  <c r="F109" i="11"/>
  <c r="G109" i="11" s="1"/>
  <c r="B111" i="11"/>
  <c r="C111" i="11" s="1"/>
  <c r="T102" i="11"/>
  <c r="U102" i="11" s="1"/>
  <c r="X100" i="11"/>
  <c r="Y100" i="11" s="1"/>
  <c r="P103" i="10"/>
  <c r="Q103" i="10" s="1"/>
  <c r="T101" i="10"/>
  <c r="U101" i="10" s="1"/>
  <c r="N104" i="10"/>
  <c r="O104" i="10" s="1"/>
  <c r="R102" i="10"/>
  <c r="S102" i="10" s="1"/>
  <c r="B112" i="10"/>
  <c r="C112" i="10"/>
  <c r="AB97" i="10"/>
  <c r="AC97" i="10" s="1"/>
  <c r="AD96" i="10"/>
  <c r="AE96" i="10" s="1"/>
  <c r="F108" i="10"/>
  <c r="G108" i="10" s="1"/>
  <c r="H107" i="10"/>
  <c r="I107" i="10" s="1"/>
  <c r="AF95" i="10"/>
  <c r="AG95" i="10" s="1"/>
  <c r="J106" i="10"/>
  <c r="K106" i="10" s="1"/>
  <c r="X99" i="10"/>
  <c r="Y99" i="10" s="1"/>
  <c r="L105" i="10"/>
  <c r="M105" i="10" s="1"/>
  <c r="V100" i="10"/>
  <c r="W100" i="10" s="1"/>
  <c r="D110" i="10"/>
  <c r="E110" i="10" s="1"/>
  <c r="Z98" i="10"/>
  <c r="AA98" i="10" s="1"/>
  <c r="L107" i="11" l="1"/>
  <c r="M107" i="11" s="1"/>
  <c r="H109" i="11"/>
  <c r="I109" i="11" s="1"/>
  <c r="V102" i="11"/>
  <c r="W102" i="11" s="1"/>
  <c r="P105" i="11"/>
  <c r="Q105" i="11" s="1"/>
  <c r="Z100" i="11"/>
  <c r="AA100" i="11" s="1"/>
  <c r="D111" i="11"/>
  <c r="E111" i="11" s="1"/>
  <c r="R104" i="11"/>
  <c r="S104" i="11" s="1"/>
  <c r="AD98" i="11"/>
  <c r="AE98" i="11" s="1"/>
  <c r="AB99" i="11"/>
  <c r="AC99" i="11" s="1"/>
  <c r="B112" i="11"/>
  <c r="C112" i="11" s="1"/>
  <c r="AF97" i="11"/>
  <c r="AG97" i="11" s="1"/>
  <c r="N106" i="11"/>
  <c r="O106" i="11" s="1"/>
  <c r="X101" i="11"/>
  <c r="Y101" i="11" s="1"/>
  <c r="J108" i="11"/>
  <c r="K108" i="11" s="1"/>
  <c r="T103" i="11"/>
  <c r="U103" i="11" s="1"/>
  <c r="F110" i="11"/>
  <c r="G110" i="11" s="1"/>
  <c r="D111" i="10"/>
  <c r="E111" i="10" s="1"/>
  <c r="J107" i="10"/>
  <c r="K107" i="10" s="1"/>
  <c r="AD97" i="10"/>
  <c r="AE97" i="10" s="1"/>
  <c r="R103" i="10"/>
  <c r="S103" i="10" s="1"/>
  <c r="V101" i="10"/>
  <c r="W101" i="10" s="1"/>
  <c r="AF96" i="10"/>
  <c r="AG96" i="10" s="1"/>
  <c r="AB98" i="10"/>
  <c r="AC98" i="10" s="1"/>
  <c r="N105" i="10"/>
  <c r="O105" i="10" s="1"/>
  <c r="H108" i="10"/>
  <c r="I108" i="10" s="1"/>
  <c r="T102" i="10"/>
  <c r="U102" i="10" s="1"/>
  <c r="L106" i="10"/>
  <c r="M106" i="10" s="1"/>
  <c r="Z99" i="10"/>
  <c r="AA99" i="10" s="1"/>
  <c r="X100" i="10"/>
  <c r="Y100" i="10" s="1"/>
  <c r="F109" i="10"/>
  <c r="G109" i="10" s="1"/>
  <c r="P104" i="10"/>
  <c r="Q104" i="10" s="1"/>
  <c r="B113" i="10"/>
  <c r="C113" i="10" s="1"/>
  <c r="AD99" i="11" l="1"/>
  <c r="AE99" i="11" s="1"/>
  <c r="P106" i="11"/>
  <c r="Q106" i="11" s="1"/>
  <c r="R105" i="11"/>
  <c r="S105" i="11" s="1"/>
  <c r="V103" i="11"/>
  <c r="W103" i="11" s="1"/>
  <c r="H110" i="11"/>
  <c r="I110" i="11" s="1"/>
  <c r="D112" i="11"/>
  <c r="E112" i="11" s="1"/>
  <c r="Z101" i="11"/>
  <c r="AA101" i="11" s="1"/>
  <c r="L108" i="11"/>
  <c r="M108" i="11" s="1"/>
  <c r="J109" i="11"/>
  <c r="K109" i="11" s="1"/>
  <c r="T104" i="11"/>
  <c r="U104" i="11" s="1"/>
  <c r="AF98" i="11"/>
  <c r="AG98" i="11" s="1"/>
  <c r="F111" i="11"/>
  <c r="G111" i="11" s="1"/>
  <c r="N107" i="11"/>
  <c r="O107" i="11" s="1"/>
  <c r="B113" i="11"/>
  <c r="C113" i="11" s="1"/>
  <c r="X102" i="11"/>
  <c r="Y102" i="11" s="1"/>
  <c r="AB100" i="11"/>
  <c r="AC100" i="11" s="1"/>
  <c r="Z100" i="10"/>
  <c r="AA100" i="10" s="1"/>
  <c r="N106" i="10"/>
  <c r="O106" i="10" s="1"/>
  <c r="R104" i="10"/>
  <c r="S104" i="10" s="1"/>
  <c r="P105" i="10"/>
  <c r="Q105" i="10" s="1"/>
  <c r="L107" i="10"/>
  <c r="M107" i="10" s="1"/>
  <c r="AB99" i="10"/>
  <c r="AC99" i="10" s="1"/>
  <c r="AD98" i="10"/>
  <c r="AE98" i="10" s="1"/>
  <c r="F110" i="10"/>
  <c r="G110" i="10" s="1"/>
  <c r="AF97" i="10"/>
  <c r="AG97" i="10" s="1"/>
  <c r="J108" i="10"/>
  <c r="K108" i="10" s="1"/>
  <c r="B114" i="10"/>
  <c r="C114" i="10" s="1"/>
  <c r="T103" i="10"/>
  <c r="U103" i="10" s="1"/>
  <c r="X101" i="10"/>
  <c r="Y101" i="10" s="1"/>
  <c r="H109" i="10"/>
  <c r="I109" i="10" s="1"/>
  <c r="V102" i="10"/>
  <c r="W102" i="10" s="1"/>
  <c r="D112" i="10"/>
  <c r="E112" i="10" s="1"/>
  <c r="T105" i="11" l="1"/>
  <c r="U105" i="11" s="1"/>
  <c r="Z102" i="11"/>
  <c r="AA102" i="11" s="1"/>
  <c r="D113" i="11"/>
  <c r="E113" i="11" s="1"/>
  <c r="H111" i="11"/>
  <c r="I111" i="11" s="1"/>
  <c r="P107" i="11"/>
  <c r="Q107" i="11" s="1"/>
  <c r="X103" i="11"/>
  <c r="Y103" i="11" s="1"/>
  <c r="L109" i="11"/>
  <c r="M109" i="11" s="1"/>
  <c r="V104" i="11"/>
  <c r="W104" i="11" s="1"/>
  <c r="AD100" i="11"/>
  <c r="AE100" i="11" s="1"/>
  <c r="AB101" i="11"/>
  <c r="AC101" i="11" s="1"/>
  <c r="B114" i="11"/>
  <c r="C114" i="11" s="1"/>
  <c r="F112" i="11"/>
  <c r="G112" i="11" s="1"/>
  <c r="N108" i="11"/>
  <c r="O108" i="11" s="1"/>
  <c r="AF99" i="11"/>
  <c r="AG99" i="11" s="1"/>
  <c r="J110" i="11"/>
  <c r="K110" i="11" s="1"/>
  <c r="R106" i="11"/>
  <c r="S106" i="11" s="1"/>
  <c r="D113" i="10"/>
  <c r="E113" i="10" s="1"/>
  <c r="T104" i="10"/>
  <c r="U104" i="10" s="1"/>
  <c r="F111" i="10"/>
  <c r="G111" i="10" s="1"/>
  <c r="P106" i="10"/>
  <c r="Q106" i="10" s="1"/>
  <c r="V103" i="10"/>
  <c r="W103" i="10" s="1"/>
  <c r="B115" i="10"/>
  <c r="C115" i="10" s="1"/>
  <c r="AD99" i="10"/>
  <c r="AE99" i="10" s="1"/>
  <c r="R105" i="10"/>
  <c r="S105" i="10" s="1"/>
  <c r="J109" i="10"/>
  <c r="K109" i="10" s="1"/>
  <c r="AB100" i="10"/>
  <c r="AC100" i="10" s="1"/>
  <c r="N107" i="10"/>
  <c r="O107" i="10" s="1"/>
  <c r="H110" i="10"/>
  <c r="I110" i="10" s="1"/>
  <c r="X102" i="10"/>
  <c r="Y102" i="10" s="1"/>
  <c r="AF98" i="10"/>
  <c r="AG98" i="10" s="1"/>
  <c r="L108" i="10"/>
  <c r="M108" i="10" s="1"/>
  <c r="Z101" i="10"/>
  <c r="AA101" i="10" s="1"/>
  <c r="L110" i="11" l="1"/>
  <c r="M110" i="11" s="1"/>
  <c r="AD101" i="11"/>
  <c r="AE101" i="11" s="1"/>
  <c r="D114" i="11"/>
  <c r="E114" i="11" s="1"/>
  <c r="Z103" i="11"/>
  <c r="AA103" i="11" s="1"/>
  <c r="H112" i="11"/>
  <c r="I112" i="11" s="1"/>
  <c r="P108" i="11"/>
  <c r="Q108" i="11" s="1"/>
  <c r="T106" i="11"/>
  <c r="U106" i="11" s="1"/>
  <c r="F113" i="11"/>
  <c r="G113" i="11" s="1"/>
  <c r="R107" i="11"/>
  <c r="S107" i="11" s="1"/>
  <c r="AF100" i="11"/>
  <c r="AG100" i="11" s="1"/>
  <c r="AB102" i="11"/>
  <c r="AC102" i="11" s="1"/>
  <c r="V105" i="11"/>
  <c r="W105" i="11" s="1"/>
  <c r="X104" i="11"/>
  <c r="Y104" i="11" s="1"/>
  <c r="J111" i="11"/>
  <c r="K111" i="11" s="1"/>
  <c r="N109" i="11"/>
  <c r="O109" i="11" s="1"/>
  <c r="B115" i="11"/>
  <c r="C115" i="11" s="1"/>
  <c r="Z102" i="10"/>
  <c r="AA102" i="10" s="1"/>
  <c r="H111" i="10"/>
  <c r="I111" i="10" s="1"/>
  <c r="R106" i="10"/>
  <c r="S106" i="10" s="1"/>
  <c r="P107" i="10"/>
  <c r="Q107" i="10" s="1"/>
  <c r="L109" i="10"/>
  <c r="M109" i="10" s="1"/>
  <c r="N108" i="10"/>
  <c r="O108" i="10" s="1"/>
  <c r="AD100" i="10"/>
  <c r="AE100" i="10" s="1"/>
  <c r="F112" i="10"/>
  <c r="G112" i="10" s="1"/>
  <c r="AB101" i="10"/>
  <c r="AC101" i="10" s="1"/>
  <c r="B116" i="10"/>
  <c r="C116" i="10" s="1"/>
  <c r="T105" i="10"/>
  <c r="U105" i="10" s="1"/>
  <c r="AF99" i="10"/>
  <c r="AG99" i="10" s="1"/>
  <c r="X103" i="10"/>
  <c r="Y103" i="10" s="1"/>
  <c r="J110" i="10"/>
  <c r="K110" i="10" s="1"/>
  <c r="V104" i="10"/>
  <c r="W104" i="10" s="1"/>
  <c r="D114" i="10"/>
  <c r="E114" i="10" s="1"/>
  <c r="Z104" i="11" l="1"/>
  <c r="AA104" i="11" s="1"/>
  <c r="T107" i="11"/>
  <c r="U107" i="11" s="1"/>
  <c r="D115" i="11"/>
  <c r="E115" i="11" s="1"/>
  <c r="P109" i="11"/>
  <c r="Q109" i="11" s="1"/>
  <c r="AD102" i="11"/>
  <c r="AE102" i="11" s="1"/>
  <c r="X105" i="11"/>
  <c r="Y105" i="11" s="1"/>
  <c r="H113" i="11"/>
  <c r="I113" i="11" s="1"/>
  <c r="L111" i="11"/>
  <c r="M111" i="11" s="1"/>
  <c r="B116" i="11"/>
  <c r="C116" i="11" s="1"/>
  <c r="V106" i="11"/>
  <c r="W106" i="11" s="1"/>
  <c r="F114" i="11"/>
  <c r="G114" i="11" s="1"/>
  <c r="R108" i="11"/>
  <c r="S108" i="11" s="1"/>
  <c r="J112" i="11"/>
  <c r="K112" i="11" s="1"/>
  <c r="AF101" i="11"/>
  <c r="AG101" i="11" s="1"/>
  <c r="N110" i="11"/>
  <c r="O110" i="11" s="1"/>
  <c r="AB103" i="11"/>
  <c r="AC103" i="11" s="1"/>
  <c r="X104" i="10"/>
  <c r="Y104" i="10" s="1"/>
  <c r="N109" i="10"/>
  <c r="O109" i="10" s="1"/>
  <c r="D115" i="10"/>
  <c r="E115" i="10" s="1"/>
  <c r="Z103" i="10"/>
  <c r="AA103" i="10" s="1"/>
  <c r="V105" i="10"/>
  <c r="W105" i="10" s="1"/>
  <c r="T106" i="10"/>
  <c r="U106" i="10" s="1"/>
  <c r="P108" i="10"/>
  <c r="Q108" i="10" s="1"/>
  <c r="AB102" i="10"/>
  <c r="AC102" i="10" s="1"/>
  <c r="H112" i="10"/>
  <c r="I112" i="10" s="1"/>
  <c r="AF100" i="10"/>
  <c r="AG100" i="10" s="1"/>
  <c r="L110" i="10"/>
  <c r="M110" i="10" s="1"/>
  <c r="J111" i="10"/>
  <c r="K111" i="10" s="1"/>
  <c r="B117" i="10"/>
  <c r="C117" i="10" s="1"/>
  <c r="AD101" i="10"/>
  <c r="AE101" i="10" s="1"/>
  <c r="R107" i="10"/>
  <c r="S107" i="10" s="1"/>
  <c r="F113" i="10"/>
  <c r="G113" i="10" s="1"/>
  <c r="L112" i="11" l="1"/>
  <c r="M112" i="11" s="1"/>
  <c r="P110" i="11"/>
  <c r="Q110" i="11" s="1"/>
  <c r="H114" i="11"/>
  <c r="I114" i="11" s="1"/>
  <c r="D116" i="11"/>
  <c r="E116" i="11" s="1"/>
  <c r="X106" i="11"/>
  <c r="Y106" i="11" s="1"/>
  <c r="T108" i="11"/>
  <c r="U108" i="11" s="1"/>
  <c r="N111" i="11"/>
  <c r="O111" i="11" s="1"/>
  <c r="AD103" i="11"/>
  <c r="AE103" i="11" s="1"/>
  <c r="Z105" i="11"/>
  <c r="AA105" i="11" s="1"/>
  <c r="AF102" i="11"/>
  <c r="AG102" i="11" s="1"/>
  <c r="AB104" i="11"/>
  <c r="AC104" i="11" s="1"/>
  <c r="R109" i="11"/>
  <c r="S109" i="11" s="1"/>
  <c r="V107" i="11"/>
  <c r="W107" i="11" s="1"/>
  <c r="J113" i="11"/>
  <c r="K113" i="11" s="1"/>
  <c r="F115" i="11"/>
  <c r="G115" i="11" s="1"/>
  <c r="B117" i="11"/>
  <c r="C117" i="11" s="1"/>
  <c r="AB103" i="10"/>
  <c r="AC103" i="10" s="1"/>
  <c r="Z104" i="10"/>
  <c r="AA104" i="10" s="1"/>
  <c r="R108" i="10"/>
  <c r="S108" i="10" s="1"/>
  <c r="L111" i="10"/>
  <c r="M111" i="10" s="1"/>
  <c r="P109" i="10"/>
  <c r="Q109" i="10" s="1"/>
  <c r="D116" i="10"/>
  <c r="E116" i="10" s="1"/>
  <c r="F114" i="10"/>
  <c r="G114" i="10" s="1"/>
  <c r="AD102" i="10"/>
  <c r="AE102" i="10" s="1"/>
  <c r="T107" i="10"/>
  <c r="U107" i="10" s="1"/>
  <c r="N110" i="10"/>
  <c r="O110" i="10" s="1"/>
  <c r="J112" i="10"/>
  <c r="K112" i="10" s="1"/>
  <c r="AF101" i="10"/>
  <c r="AG101" i="10" s="1"/>
  <c r="B118" i="10"/>
  <c r="C118" i="10" s="1"/>
  <c r="H113" i="10"/>
  <c r="I113" i="10" s="1"/>
  <c r="V106" i="10"/>
  <c r="W106" i="10" s="1"/>
  <c r="X105" i="10"/>
  <c r="Y105" i="10" s="1"/>
  <c r="D117" i="11" l="1"/>
  <c r="E117" i="11" s="1"/>
  <c r="H115" i="11"/>
  <c r="I115" i="11" s="1"/>
  <c r="AB105" i="11"/>
  <c r="AC105" i="11" s="1"/>
  <c r="P111" i="11"/>
  <c r="Q111" i="11" s="1"/>
  <c r="T109" i="11"/>
  <c r="U109" i="11" s="1"/>
  <c r="AD104" i="11"/>
  <c r="AE104" i="11" s="1"/>
  <c r="X107" i="11"/>
  <c r="Y107" i="11" s="1"/>
  <c r="L113" i="11"/>
  <c r="M113" i="11" s="1"/>
  <c r="Z106" i="11"/>
  <c r="AA106" i="11" s="1"/>
  <c r="N112" i="11"/>
  <c r="O112" i="11" s="1"/>
  <c r="B118" i="11"/>
  <c r="C118" i="11" s="1"/>
  <c r="J114" i="11"/>
  <c r="K114" i="11" s="1"/>
  <c r="R110" i="11"/>
  <c r="S110" i="11" s="1"/>
  <c r="AF103" i="11"/>
  <c r="AG103" i="11" s="1"/>
  <c r="F116" i="11"/>
  <c r="G116" i="11" s="1"/>
  <c r="V108" i="11"/>
  <c r="W108" i="11" s="1"/>
  <c r="AF102" i="10"/>
  <c r="AG102" i="10" s="1"/>
  <c r="Z105" i="10"/>
  <c r="AA105" i="10" s="1"/>
  <c r="P110" i="10"/>
  <c r="Q110" i="10" s="1"/>
  <c r="H114" i="10"/>
  <c r="I114" i="10" s="1"/>
  <c r="AD103" i="10"/>
  <c r="AE103" i="10" s="1"/>
  <c r="L112" i="10"/>
  <c r="M112" i="10" s="1"/>
  <c r="X106" i="10"/>
  <c r="Y106" i="10" s="1"/>
  <c r="D117" i="10"/>
  <c r="E117" i="10" s="1"/>
  <c r="V107" i="10"/>
  <c r="W107" i="10" s="1"/>
  <c r="T108" i="10"/>
  <c r="U108" i="10" s="1"/>
  <c r="AB104" i="10"/>
  <c r="AC104" i="10" s="1"/>
  <c r="B119" i="10"/>
  <c r="C119" i="10" s="1"/>
  <c r="F115" i="10"/>
  <c r="G115" i="10" s="1"/>
  <c r="R109" i="10"/>
  <c r="S109" i="10" s="1"/>
  <c r="N111" i="10"/>
  <c r="O111" i="10" s="1"/>
  <c r="J113" i="10"/>
  <c r="K113" i="10" s="1"/>
  <c r="X108" i="11" l="1"/>
  <c r="Y108" i="11" s="1"/>
  <c r="P112" i="11"/>
  <c r="Q112" i="11" s="1"/>
  <c r="AB106" i="11"/>
  <c r="AC106" i="11" s="1"/>
  <c r="H116" i="11"/>
  <c r="I116" i="11" s="1"/>
  <c r="AF104" i="11"/>
  <c r="AG104" i="11" s="1"/>
  <c r="L114" i="11"/>
  <c r="M114" i="11" s="1"/>
  <c r="T110" i="11"/>
  <c r="U110" i="11" s="1"/>
  <c r="D118" i="11"/>
  <c r="E118" i="11" s="1"/>
  <c r="J115" i="11"/>
  <c r="K115" i="11" s="1"/>
  <c r="N113" i="11"/>
  <c r="O113" i="11" s="1"/>
  <c r="AD105" i="11"/>
  <c r="AE105" i="11" s="1"/>
  <c r="V109" i="11"/>
  <c r="W109" i="11" s="1"/>
  <c r="F117" i="11"/>
  <c r="G117" i="11" s="1"/>
  <c r="R111" i="11"/>
  <c r="S111" i="11" s="1"/>
  <c r="B119" i="11"/>
  <c r="C119" i="11" s="1"/>
  <c r="Z107" i="11"/>
  <c r="AA107" i="11" s="1"/>
  <c r="B120" i="10"/>
  <c r="C120" i="10" s="1"/>
  <c r="D118" i="10"/>
  <c r="E118" i="10" s="1"/>
  <c r="H115" i="10"/>
  <c r="I115" i="10" s="1"/>
  <c r="AB105" i="10"/>
  <c r="AC105" i="10" s="1"/>
  <c r="X107" i="10"/>
  <c r="Y107" i="10" s="1"/>
  <c r="P111" i="10"/>
  <c r="Q111" i="10" s="1"/>
  <c r="R110" i="10"/>
  <c r="S110" i="10" s="1"/>
  <c r="T109" i="10"/>
  <c r="U109" i="10" s="1"/>
  <c r="L113" i="10"/>
  <c r="M113" i="10" s="1"/>
  <c r="Z106" i="10"/>
  <c r="AA106" i="10" s="1"/>
  <c r="J114" i="10"/>
  <c r="K114" i="10" s="1"/>
  <c r="F116" i="10"/>
  <c r="G116" i="10" s="1"/>
  <c r="V108" i="10"/>
  <c r="W108" i="10" s="1"/>
  <c r="AD104" i="10"/>
  <c r="AE104" i="10" s="1"/>
  <c r="AF103" i="10"/>
  <c r="AG103" i="10" s="1"/>
  <c r="N112" i="10"/>
  <c r="O112" i="10" s="1"/>
  <c r="D119" i="11" l="1"/>
  <c r="E119" i="11" s="1"/>
  <c r="H117" i="11"/>
  <c r="I117" i="11" s="1"/>
  <c r="T111" i="11"/>
  <c r="U111" i="11" s="1"/>
  <c r="AB107" i="11"/>
  <c r="AC107" i="11" s="1"/>
  <c r="P113" i="11"/>
  <c r="Q113" i="11" s="1"/>
  <c r="L115" i="11"/>
  <c r="M115" i="11" s="1"/>
  <c r="AF105" i="11"/>
  <c r="AG105" i="11" s="1"/>
  <c r="X109" i="11"/>
  <c r="Y109" i="11" s="1"/>
  <c r="V110" i="11"/>
  <c r="W110" i="11" s="1"/>
  <c r="N114" i="11"/>
  <c r="O114" i="11" s="1"/>
  <c r="Z108" i="11"/>
  <c r="AA108" i="11" s="1"/>
  <c r="B120" i="11"/>
  <c r="C120" i="11" s="1"/>
  <c r="AD106" i="11"/>
  <c r="AE106" i="11" s="1"/>
  <c r="J116" i="11"/>
  <c r="K116" i="11" s="1"/>
  <c r="R112" i="11"/>
  <c r="S112" i="11" s="1"/>
  <c r="F118" i="11"/>
  <c r="G118" i="11" s="1"/>
  <c r="F117" i="10"/>
  <c r="G117" i="10" s="1"/>
  <c r="T110" i="10"/>
  <c r="U110" i="10" s="1"/>
  <c r="AB106" i="10"/>
  <c r="AC106" i="10" s="1"/>
  <c r="AF104" i="10"/>
  <c r="AG104" i="10" s="1"/>
  <c r="J115" i="10"/>
  <c r="K115" i="10" s="1"/>
  <c r="R111" i="10"/>
  <c r="S111" i="10" s="1"/>
  <c r="H116" i="10"/>
  <c r="I116" i="10" s="1"/>
  <c r="Z107" i="10"/>
  <c r="AA107" i="10" s="1"/>
  <c r="P112" i="10"/>
  <c r="Q112" i="10" s="1"/>
  <c r="D119" i="10"/>
  <c r="E119" i="10" s="1"/>
  <c r="AD105" i="10"/>
  <c r="AE105" i="10" s="1"/>
  <c r="V109" i="10"/>
  <c r="W109" i="10" s="1"/>
  <c r="L114" i="10"/>
  <c r="M114" i="10" s="1"/>
  <c r="X108" i="10"/>
  <c r="Y108" i="10" s="1"/>
  <c r="B121" i="10"/>
  <c r="C121" i="10" s="1"/>
  <c r="N113" i="10"/>
  <c r="O113" i="10" s="1"/>
  <c r="AB108" i="11" l="1"/>
  <c r="AC108" i="11" s="1"/>
  <c r="B121" i="11"/>
  <c r="C121" i="11" s="1"/>
  <c r="AF106" i="11"/>
  <c r="AG106" i="11" s="1"/>
  <c r="T112" i="11"/>
  <c r="U112" i="11" s="1"/>
  <c r="H118" i="11"/>
  <c r="I118" i="11" s="1"/>
  <c r="X110" i="11"/>
  <c r="Y110" i="11" s="1"/>
  <c r="L116" i="11"/>
  <c r="M116" i="11" s="1"/>
  <c r="P114" i="11"/>
  <c r="Q114" i="11" s="1"/>
  <c r="D120" i="11"/>
  <c r="E120" i="11" s="1"/>
  <c r="J117" i="11"/>
  <c r="K117" i="11" s="1"/>
  <c r="F119" i="11"/>
  <c r="G119" i="11" s="1"/>
  <c r="N115" i="11"/>
  <c r="O115" i="11" s="1"/>
  <c r="AD107" i="11"/>
  <c r="AE107" i="11" s="1"/>
  <c r="Z109" i="11"/>
  <c r="AA109" i="11" s="1"/>
  <c r="V111" i="11"/>
  <c r="W111" i="11" s="1"/>
  <c r="R113" i="11"/>
  <c r="S113" i="11" s="1"/>
  <c r="V110" i="10"/>
  <c r="W110" i="10" s="1"/>
  <c r="AD106" i="10"/>
  <c r="AE106" i="10" s="1"/>
  <c r="Z108" i="10"/>
  <c r="AA108" i="10" s="1"/>
  <c r="N114" i="10"/>
  <c r="O114" i="10" s="1"/>
  <c r="D120" i="10"/>
  <c r="E120" i="10" s="1"/>
  <c r="B122" i="10"/>
  <c r="C122" i="10" s="1"/>
  <c r="X109" i="10"/>
  <c r="Y109" i="10" s="1"/>
  <c r="L115" i="10"/>
  <c r="M115" i="10" s="1"/>
  <c r="R112" i="10"/>
  <c r="S112" i="10" s="1"/>
  <c r="AF105" i="10"/>
  <c r="AG105" i="10" s="1"/>
  <c r="T111" i="10"/>
  <c r="U111" i="10" s="1"/>
  <c r="P113" i="10"/>
  <c r="Q113" i="10" s="1"/>
  <c r="H117" i="10"/>
  <c r="I117" i="10" s="1"/>
  <c r="J116" i="10"/>
  <c r="K116" i="10" s="1"/>
  <c r="AB107" i="10"/>
  <c r="AC107" i="10" s="1"/>
  <c r="F118" i="10"/>
  <c r="G118" i="10" s="1"/>
  <c r="P115" i="11" l="1"/>
  <c r="Q115" i="11" s="1"/>
  <c r="T113" i="11"/>
  <c r="U113" i="11" s="1"/>
  <c r="L117" i="11"/>
  <c r="M117" i="11" s="1"/>
  <c r="AF107" i="11"/>
  <c r="AG107" i="11" s="1"/>
  <c r="X111" i="11"/>
  <c r="Y111" i="11" s="1"/>
  <c r="B122" i="11"/>
  <c r="C122" i="11" s="1"/>
  <c r="D121" i="11"/>
  <c r="E121" i="11" s="1"/>
  <c r="H119" i="11"/>
  <c r="I119" i="11" s="1"/>
  <c r="AB109" i="11"/>
  <c r="AC109" i="11" s="1"/>
  <c r="R114" i="11"/>
  <c r="S114" i="11" s="1"/>
  <c r="Z110" i="11"/>
  <c r="AA110" i="11" s="1"/>
  <c r="V112" i="11"/>
  <c r="W112" i="11" s="1"/>
  <c r="F120" i="11"/>
  <c r="G120" i="11" s="1"/>
  <c r="N116" i="11"/>
  <c r="O116" i="11" s="1"/>
  <c r="J118" i="11"/>
  <c r="K118" i="11" s="1"/>
  <c r="AD108" i="11"/>
  <c r="AE108" i="11" s="1"/>
  <c r="AF106" i="10"/>
  <c r="AG106" i="10" s="1"/>
  <c r="X110" i="10"/>
  <c r="Y110" i="10" s="1"/>
  <c r="N115" i="10"/>
  <c r="O115" i="10" s="1"/>
  <c r="J117" i="10"/>
  <c r="K117" i="10" s="1"/>
  <c r="H118" i="10"/>
  <c r="I118" i="10" s="1"/>
  <c r="B123" i="10"/>
  <c r="C123" i="10" s="1"/>
  <c r="Z109" i="10"/>
  <c r="AA109" i="10" s="1"/>
  <c r="P114" i="10"/>
  <c r="Q114" i="10" s="1"/>
  <c r="AD107" i="10"/>
  <c r="AE107" i="10" s="1"/>
  <c r="F119" i="10"/>
  <c r="G119" i="10" s="1"/>
  <c r="AB108" i="10"/>
  <c r="AC108" i="10" s="1"/>
  <c r="T112" i="10"/>
  <c r="U112" i="10" s="1"/>
  <c r="L116" i="10"/>
  <c r="M116" i="10" s="1"/>
  <c r="V111" i="10"/>
  <c r="W111" i="10" s="1"/>
  <c r="R113" i="10"/>
  <c r="S113" i="10" s="1"/>
  <c r="D121" i="10"/>
  <c r="E121" i="10" s="1"/>
  <c r="AF108" i="11" l="1"/>
  <c r="AG108" i="11" s="1"/>
  <c r="L118" i="11"/>
  <c r="M118" i="11" s="1"/>
  <c r="B123" i="11"/>
  <c r="C123" i="11" s="1"/>
  <c r="T114" i="11"/>
  <c r="U114" i="11" s="1"/>
  <c r="AB110" i="11"/>
  <c r="AC110" i="11" s="1"/>
  <c r="F121" i="11"/>
  <c r="G121" i="11" s="1"/>
  <c r="H120" i="11"/>
  <c r="I120" i="11" s="1"/>
  <c r="X112" i="11"/>
  <c r="Y112" i="11" s="1"/>
  <c r="P116" i="11"/>
  <c r="Q116" i="11" s="1"/>
  <c r="AD109" i="11"/>
  <c r="AE109" i="11" s="1"/>
  <c r="R115" i="11"/>
  <c r="S115" i="11" s="1"/>
  <c r="N117" i="11"/>
  <c r="O117" i="11" s="1"/>
  <c r="J119" i="11"/>
  <c r="K119" i="11" s="1"/>
  <c r="Z111" i="11"/>
  <c r="AA111" i="11" s="1"/>
  <c r="V113" i="11"/>
  <c r="W113" i="11" s="1"/>
  <c r="D122" i="11"/>
  <c r="E122" i="11" s="1"/>
  <c r="T113" i="10"/>
  <c r="U113" i="10" s="1"/>
  <c r="P115" i="10"/>
  <c r="Q115" i="10" s="1"/>
  <c r="J118" i="10"/>
  <c r="K118" i="10" s="1"/>
  <c r="R114" i="10"/>
  <c r="S114" i="10" s="1"/>
  <c r="AB109" i="10"/>
  <c r="AC109" i="10" s="1"/>
  <c r="Z110" i="10"/>
  <c r="AA110" i="10" s="1"/>
  <c r="N116" i="10"/>
  <c r="O116" i="10" s="1"/>
  <c r="F120" i="10"/>
  <c r="G120" i="10" s="1"/>
  <c r="B124" i="10"/>
  <c r="C124" i="10" s="1"/>
  <c r="X111" i="10"/>
  <c r="Y111" i="10" s="1"/>
  <c r="V112" i="10"/>
  <c r="W112" i="10" s="1"/>
  <c r="L117" i="10"/>
  <c r="M117" i="10" s="1"/>
  <c r="AD108" i="10"/>
  <c r="AE108" i="10" s="1"/>
  <c r="H119" i="10"/>
  <c r="I119" i="10" s="1"/>
  <c r="AF107" i="10"/>
  <c r="AG107" i="10" s="1"/>
  <c r="D122" i="10"/>
  <c r="E122" i="10"/>
  <c r="X113" i="11" l="1"/>
  <c r="Y113" i="11" s="1"/>
  <c r="T115" i="11"/>
  <c r="U115" i="11" s="1"/>
  <c r="H121" i="11"/>
  <c r="I121" i="11" s="1"/>
  <c r="B124" i="11"/>
  <c r="C124" i="11" s="1"/>
  <c r="F122" i="11"/>
  <c r="G122" i="11" s="1"/>
  <c r="L119" i="11"/>
  <c r="M119" i="11" s="1"/>
  <c r="P117" i="11"/>
  <c r="Q117" i="11" s="1"/>
  <c r="AB111" i="11"/>
  <c r="AC111" i="11" s="1"/>
  <c r="AF109" i="11"/>
  <c r="AG109" i="11" s="1"/>
  <c r="Z112" i="11"/>
  <c r="AA112" i="11" s="1"/>
  <c r="AD110" i="11"/>
  <c r="AE110" i="11" s="1"/>
  <c r="V114" i="11"/>
  <c r="W114" i="11" s="1"/>
  <c r="J120" i="11"/>
  <c r="K120" i="11" s="1"/>
  <c r="R116" i="11"/>
  <c r="S116" i="11" s="1"/>
  <c r="D123" i="11"/>
  <c r="E123" i="11" s="1"/>
  <c r="N118" i="11"/>
  <c r="O118" i="11" s="1"/>
  <c r="AF108" i="10"/>
  <c r="AG108" i="10" s="1"/>
  <c r="F121" i="10"/>
  <c r="G121" i="10" s="1"/>
  <c r="R115" i="10"/>
  <c r="S115" i="10" s="1"/>
  <c r="H120" i="10"/>
  <c r="I120" i="10" s="1"/>
  <c r="N117" i="10"/>
  <c r="O117" i="10" s="1"/>
  <c r="J119" i="10"/>
  <c r="K119" i="10" s="1"/>
  <c r="AD109" i="10"/>
  <c r="AE109" i="10" s="1"/>
  <c r="X112" i="10"/>
  <c r="Y112" i="10" s="1"/>
  <c r="Z111" i="10"/>
  <c r="AA111" i="10" s="1"/>
  <c r="P116" i="10"/>
  <c r="Q116" i="10" s="1"/>
  <c r="L118" i="10"/>
  <c r="M118" i="10" s="1"/>
  <c r="B125" i="10"/>
  <c r="C125" i="10" s="1"/>
  <c r="AB110" i="10"/>
  <c r="AC110" i="10" s="1"/>
  <c r="T114" i="10"/>
  <c r="U114" i="10" s="1"/>
  <c r="D123" i="10"/>
  <c r="E123" i="10" s="1"/>
  <c r="V113" i="10"/>
  <c r="W113" i="10" s="1"/>
  <c r="D124" i="11" l="1"/>
  <c r="E124" i="11" s="1"/>
  <c r="P118" i="11"/>
  <c r="Q118" i="11" s="1"/>
  <c r="L120" i="11"/>
  <c r="M120" i="11" s="1"/>
  <c r="AF110" i="11"/>
  <c r="AG110" i="11" s="1"/>
  <c r="F123" i="11"/>
  <c r="G123" i="11" s="1"/>
  <c r="T116" i="11"/>
  <c r="U116" i="11" s="1"/>
  <c r="J121" i="11"/>
  <c r="K121" i="11" s="1"/>
  <c r="AB112" i="11"/>
  <c r="AC112" i="11" s="1"/>
  <c r="B125" i="11"/>
  <c r="C125" i="11" s="1"/>
  <c r="X114" i="11"/>
  <c r="Y114" i="11" s="1"/>
  <c r="V115" i="11"/>
  <c r="W115" i="11" s="1"/>
  <c r="AD111" i="11"/>
  <c r="AE111" i="11" s="1"/>
  <c r="H122" i="11"/>
  <c r="I122" i="11" s="1"/>
  <c r="N119" i="11"/>
  <c r="O119" i="11" s="1"/>
  <c r="R117" i="11"/>
  <c r="S117" i="11" s="1"/>
  <c r="Z113" i="11"/>
  <c r="AA113" i="11" s="1"/>
  <c r="D124" i="10"/>
  <c r="E124" i="10" s="1"/>
  <c r="L119" i="10"/>
  <c r="M119" i="10" s="1"/>
  <c r="AD110" i="10"/>
  <c r="AE110" i="10" s="1"/>
  <c r="T115" i="10"/>
  <c r="U115" i="10" s="1"/>
  <c r="P117" i="10"/>
  <c r="Q117" i="10" s="1"/>
  <c r="J120" i="10"/>
  <c r="K120" i="10" s="1"/>
  <c r="R116" i="10"/>
  <c r="S116" i="10" s="1"/>
  <c r="Z112" i="10"/>
  <c r="AA112" i="10" s="1"/>
  <c r="N118" i="10"/>
  <c r="O118" i="10" s="1"/>
  <c r="F122" i="10"/>
  <c r="G122" i="10" s="1"/>
  <c r="AB111" i="10"/>
  <c r="AC111" i="10" s="1"/>
  <c r="V114" i="10"/>
  <c r="W114" i="10" s="1"/>
  <c r="B126" i="10"/>
  <c r="C126" i="10" s="1"/>
  <c r="X113" i="10"/>
  <c r="Y113" i="10" s="1"/>
  <c r="AF109" i="10"/>
  <c r="AG109" i="10" s="1"/>
  <c r="H121" i="10"/>
  <c r="I121" i="10" s="1"/>
  <c r="H123" i="11" l="1"/>
  <c r="I123" i="11" s="1"/>
  <c r="J122" i="11"/>
  <c r="K122" i="11" s="1"/>
  <c r="R118" i="11"/>
  <c r="S118" i="11" s="1"/>
  <c r="X115" i="11"/>
  <c r="Y115" i="11" s="1"/>
  <c r="T117" i="11"/>
  <c r="U117" i="11" s="1"/>
  <c r="F124" i="11"/>
  <c r="G124" i="11" s="1"/>
  <c r="P119" i="11"/>
  <c r="Q119" i="11" s="1"/>
  <c r="B126" i="11"/>
  <c r="C126" i="11" s="1"/>
  <c r="AB113" i="11"/>
  <c r="AC113" i="11" s="1"/>
  <c r="AF111" i="11"/>
  <c r="AG111" i="11" s="1"/>
  <c r="D125" i="11"/>
  <c r="E125" i="11" s="1"/>
  <c r="V116" i="11"/>
  <c r="W116" i="11" s="1"/>
  <c r="L121" i="11"/>
  <c r="M121" i="11" s="1"/>
  <c r="Z114" i="11"/>
  <c r="AA114" i="11" s="1"/>
  <c r="N120" i="11"/>
  <c r="O120" i="11" s="1"/>
  <c r="AD112" i="11"/>
  <c r="AE112" i="11" s="1"/>
  <c r="AF110" i="10"/>
  <c r="AG110" i="10" s="1"/>
  <c r="AB112" i="10"/>
  <c r="AC112" i="10" s="1"/>
  <c r="T116" i="10"/>
  <c r="U116" i="10" s="1"/>
  <c r="X114" i="10"/>
  <c r="Y114" i="10" s="1"/>
  <c r="F123" i="10"/>
  <c r="G123" i="10" s="1"/>
  <c r="R117" i="10"/>
  <c r="S117" i="10" s="1"/>
  <c r="AD111" i="10"/>
  <c r="AE111" i="10" s="1"/>
  <c r="B127" i="10"/>
  <c r="C127" i="10" s="1"/>
  <c r="J121" i="10"/>
  <c r="K121" i="10" s="1"/>
  <c r="L120" i="10"/>
  <c r="M120" i="10" s="1"/>
  <c r="N119" i="10"/>
  <c r="O119" i="10" s="1"/>
  <c r="V115" i="10"/>
  <c r="W115" i="10" s="1"/>
  <c r="P118" i="10"/>
  <c r="Q118" i="10" s="1"/>
  <c r="D125" i="10"/>
  <c r="E125" i="10" s="1"/>
  <c r="H122" i="10"/>
  <c r="I122" i="10" s="1"/>
  <c r="Z113" i="10"/>
  <c r="AA113" i="10" s="1"/>
  <c r="N121" i="11" l="1"/>
  <c r="O121" i="11" s="1"/>
  <c r="AF112" i="11"/>
  <c r="AG112" i="11" s="1"/>
  <c r="AB114" i="11"/>
  <c r="AC114" i="11" s="1"/>
  <c r="B127" i="11"/>
  <c r="C127" i="11" s="1"/>
  <c r="T118" i="11"/>
  <c r="U118" i="11" s="1"/>
  <c r="J123" i="11"/>
  <c r="K123" i="11" s="1"/>
  <c r="D126" i="11"/>
  <c r="E126" i="11" s="1"/>
  <c r="P120" i="11"/>
  <c r="Q120" i="11" s="1"/>
  <c r="X116" i="11"/>
  <c r="Y116" i="11" s="1"/>
  <c r="H124" i="11"/>
  <c r="I124" i="11" s="1"/>
  <c r="AD113" i="11"/>
  <c r="AE113" i="11" s="1"/>
  <c r="V117" i="11"/>
  <c r="W117" i="11" s="1"/>
  <c r="Z115" i="11"/>
  <c r="AA115" i="11" s="1"/>
  <c r="R119" i="11"/>
  <c r="S119" i="11" s="1"/>
  <c r="F125" i="11"/>
  <c r="G125" i="11" s="1"/>
  <c r="L122" i="11"/>
  <c r="M122" i="11" s="1"/>
  <c r="J122" i="10"/>
  <c r="K122" i="10" s="1"/>
  <c r="AB113" i="10"/>
  <c r="AC113" i="10" s="1"/>
  <c r="N120" i="10"/>
  <c r="O120" i="10" s="1"/>
  <c r="AF111" i="10"/>
  <c r="AG111" i="10" s="1"/>
  <c r="D126" i="10"/>
  <c r="E126" i="10" s="1"/>
  <c r="X115" i="10"/>
  <c r="Y115" i="10" s="1"/>
  <c r="V116" i="10"/>
  <c r="W116" i="10" s="1"/>
  <c r="R118" i="10"/>
  <c r="S118" i="10" s="1"/>
  <c r="B128" i="10"/>
  <c r="C128" i="10" s="1"/>
  <c r="F124" i="10"/>
  <c r="G124" i="10" s="1"/>
  <c r="Z114" i="10"/>
  <c r="AA114" i="10" s="1"/>
  <c r="P119" i="10"/>
  <c r="Q119" i="10" s="1"/>
  <c r="T117" i="10"/>
  <c r="U117" i="10" s="1"/>
  <c r="H123" i="10"/>
  <c r="I123" i="10" s="1"/>
  <c r="L121" i="10"/>
  <c r="M121" i="10" s="1"/>
  <c r="AD112" i="10"/>
  <c r="AE112" i="10" s="1"/>
  <c r="B128" i="11" l="1"/>
  <c r="C128" i="11" s="1"/>
  <c r="H125" i="11"/>
  <c r="I125" i="11" s="1"/>
  <c r="D127" i="11"/>
  <c r="E127" i="11" s="1"/>
  <c r="AB115" i="11"/>
  <c r="AC115" i="11" s="1"/>
  <c r="X117" i="11"/>
  <c r="Y117" i="11" s="1"/>
  <c r="AF113" i="11"/>
  <c r="AG113" i="11" s="1"/>
  <c r="J124" i="11"/>
  <c r="K124" i="11" s="1"/>
  <c r="T119" i="11"/>
  <c r="U119" i="11" s="1"/>
  <c r="N122" i="11"/>
  <c r="O122" i="11" s="1"/>
  <c r="R120" i="11"/>
  <c r="S120" i="11" s="1"/>
  <c r="V118" i="11"/>
  <c r="W118" i="11" s="1"/>
  <c r="P121" i="11"/>
  <c r="Q121" i="11" s="1"/>
  <c r="L123" i="11"/>
  <c r="M123" i="11" s="1"/>
  <c r="F126" i="11"/>
  <c r="G126" i="11" s="1"/>
  <c r="Z116" i="11"/>
  <c r="AA116" i="11" s="1"/>
  <c r="AD114" i="11"/>
  <c r="AE114" i="11" s="1"/>
  <c r="P120" i="10"/>
  <c r="Q120" i="10" s="1"/>
  <c r="R119" i="10"/>
  <c r="S119" i="10" s="1"/>
  <c r="AF112" i="10"/>
  <c r="AG112" i="10" s="1"/>
  <c r="Z115" i="10"/>
  <c r="AA115" i="10" s="1"/>
  <c r="V117" i="10"/>
  <c r="W117" i="10" s="1"/>
  <c r="N121" i="10"/>
  <c r="O121" i="10" s="1"/>
  <c r="H124" i="10"/>
  <c r="I124" i="10" s="1"/>
  <c r="X116" i="10"/>
  <c r="Y116" i="10" s="1"/>
  <c r="AB114" i="10"/>
  <c r="AC114" i="10" s="1"/>
  <c r="F125" i="10"/>
  <c r="G125" i="10" s="1"/>
  <c r="T118" i="10"/>
  <c r="U118" i="10" s="1"/>
  <c r="B129" i="10"/>
  <c r="C129" i="10" s="1"/>
  <c r="D127" i="10"/>
  <c r="E127" i="10" s="1"/>
  <c r="J123" i="10"/>
  <c r="K123" i="10" s="1"/>
  <c r="L122" i="10"/>
  <c r="M122" i="10" s="1"/>
  <c r="AD113" i="10"/>
  <c r="AE113" i="10" s="1"/>
  <c r="T120" i="11" l="1"/>
  <c r="U120" i="11" s="1"/>
  <c r="AB116" i="11"/>
  <c r="AC116" i="11" s="1"/>
  <c r="L124" i="11"/>
  <c r="M124" i="11" s="1"/>
  <c r="J125" i="11"/>
  <c r="K125" i="11" s="1"/>
  <c r="D128" i="11"/>
  <c r="E128" i="11" s="1"/>
  <c r="H126" i="11"/>
  <c r="I126" i="11" s="1"/>
  <c r="R121" i="11"/>
  <c r="S121" i="11" s="1"/>
  <c r="AF114" i="11"/>
  <c r="AG114" i="11" s="1"/>
  <c r="N123" i="11"/>
  <c r="O123" i="11" s="1"/>
  <c r="X118" i="11"/>
  <c r="Y118" i="11" s="1"/>
  <c r="B129" i="11"/>
  <c r="C129" i="11" s="1"/>
  <c r="V119" i="11"/>
  <c r="W119" i="11" s="1"/>
  <c r="AD115" i="11"/>
  <c r="AE115" i="11" s="1"/>
  <c r="F127" i="11"/>
  <c r="G127" i="11" s="1"/>
  <c r="P122" i="11"/>
  <c r="Q122" i="11" s="1"/>
  <c r="Z117" i="11"/>
  <c r="AA117" i="11" s="1"/>
  <c r="F126" i="10"/>
  <c r="G126" i="10" s="1"/>
  <c r="R120" i="10"/>
  <c r="S120" i="10" s="1"/>
  <c r="D128" i="10"/>
  <c r="E128" i="10" s="1"/>
  <c r="V118" i="10"/>
  <c r="W118" i="10" s="1"/>
  <c r="B130" i="10"/>
  <c r="C130" i="10" s="1"/>
  <c r="X117" i="10"/>
  <c r="Y117" i="10" s="1"/>
  <c r="Z116" i="10"/>
  <c r="AA116" i="10" s="1"/>
  <c r="J124" i="10"/>
  <c r="K124" i="10" s="1"/>
  <c r="N122" i="10"/>
  <c r="O122" i="10" s="1"/>
  <c r="AD114" i="10"/>
  <c r="AE114" i="10" s="1"/>
  <c r="AB115" i="10"/>
  <c r="AC115" i="10" s="1"/>
  <c r="P121" i="10"/>
  <c r="Q121" i="10" s="1"/>
  <c r="T119" i="10"/>
  <c r="U119" i="10" s="1"/>
  <c r="H125" i="10"/>
  <c r="I125" i="10" s="1"/>
  <c r="AF113" i="10"/>
  <c r="AG113" i="10" s="1"/>
  <c r="L123" i="10"/>
  <c r="M123" i="10" s="1"/>
  <c r="AF115" i="11" l="1"/>
  <c r="AG115" i="11" s="1"/>
  <c r="J126" i="11"/>
  <c r="K126" i="11" s="1"/>
  <c r="B130" i="11"/>
  <c r="C130" i="11" s="1"/>
  <c r="R122" i="11"/>
  <c r="S122" i="11" s="1"/>
  <c r="L125" i="11"/>
  <c r="M125" i="11" s="1"/>
  <c r="X119" i="11"/>
  <c r="Y119" i="11" s="1"/>
  <c r="AB117" i="11"/>
  <c r="AC117" i="11" s="1"/>
  <c r="P123" i="11"/>
  <c r="Q123" i="11" s="1"/>
  <c r="H127" i="11"/>
  <c r="I127" i="11" s="1"/>
  <c r="N124" i="11"/>
  <c r="O124" i="11" s="1"/>
  <c r="D129" i="11"/>
  <c r="E129" i="11" s="1"/>
  <c r="T121" i="11"/>
  <c r="U121" i="11" s="1"/>
  <c r="Z118" i="11"/>
  <c r="AA118" i="11" s="1"/>
  <c r="F128" i="11"/>
  <c r="G128" i="11" s="1"/>
  <c r="V120" i="11"/>
  <c r="W120" i="11" s="1"/>
  <c r="AD116" i="11"/>
  <c r="AE116" i="11" s="1"/>
  <c r="AF114" i="10"/>
  <c r="AG114" i="10" s="1"/>
  <c r="J125" i="10"/>
  <c r="K125" i="10" s="1"/>
  <c r="V119" i="10"/>
  <c r="W119" i="10" s="1"/>
  <c r="H126" i="10"/>
  <c r="I126" i="10" s="1"/>
  <c r="AB116" i="10"/>
  <c r="AC116" i="10" s="1"/>
  <c r="Z117" i="10"/>
  <c r="AA117" i="10" s="1"/>
  <c r="D129" i="10"/>
  <c r="E129" i="10" s="1"/>
  <c r="T120" i="10"/>
  <c r="U120" i="10" s="1"/>
  <c r="X118" i="10"/>
  <c r="Y118" i="10" s="1"/>
  <c r="R121" i="10"/>
  <c r="S121" i="10" s="1"/>
  <c r="AD115" i="10"/>
  <c r="AE115" i="10" s="1"/>
  <c r="N123" i="10"/>
  <c r="O123" i="10" s="1"/>
  <c r="B131" i="10"/>
  <c r="C131" i="10" s="1"/>
  <c r="F127" i="10"/>
  <c r="G127" i="10" s="1"/>
  <c r="L124" i="10"/>
  <c r="M124" i="10" s="1"/>
  <c r="P122" i="10"/>
  <c r="Q122" i="10" s="1"/>
  <c r="P124" i="11" l="1"/>
  <c r="Q124" i="11" s="1"/>
  <c r="R123" i="11"/>
  <c r="S123" i="11" s="1"/>
  <c r="D130" i="11"/>
  <c r="E130" i="11" s="1"/>
  <c r="AB118" i="11"/>
  <c r="AC118" i="11" s="1"/>
  <c r="B131" i="11"/>
  <c r="C131" i="11" s="1"/>
  <c r="V121" i="11"/>
  <c r="W121" i="11" s="1"/>
  <c r="N125" i="11"/>
  <c r="O125" i="11" s="1"/>
  <c r="X120" i="11"/>
  <c r="Y120" i="11" s="1"/>
  <c r="J127" i="11"/>
  <c r="K127" i="11" s="1"/>
  <c r="H128" i="11"/>
  <c r="I128" i="11" s="1"/>
  <c r="L126" i="11"/>
  <c r="M126" i="11" s="1"/>
  <c r="AF116" i="11"/>
  <c r="AG116" i="11" s="1"/>
  <c r="Z119" i="11"/>
  <c r="AA119" i="11" s="1"/>
  <c r="AD117" i="11"/>
  <c r="AE117" i="11" s="1"/>
  <c r="F129" i="11"/>
  <c r="G129" i="11" s="1"/>
  <c r="T122" i="11"/>
  <c r="U122" i="11" s="1"/>
  <c r="AD116" i="10"/>
  <c r="AE116" i="10" s="1"/>
  <c r="H127" i="10"/>
  <c r="I127" i="10" s="1"/>
  <c r="F128" i="10"/>
  <c r="G128" i="10" s="1"/>
  <c r="R122" i="10"/>
  <c r="S122" i="10" s="1"/>
  <c r="D130" i="10"/>
  <c r="E130" i="10" s="1"/>
  <c r="V120" i="10"/>
  <c r="W120" i="10" s="1"/>
  <c r="P123" i="10"/>
  <c r="Q123" i="10" s="1"/>
  <c r="Z118" i="10"/>
  <c r="AA118" i="10" s="1"/>
  <c r="J126" i="10"/>
  <c r="K126" i="10" s="1"/>
  <c r="B132" i="10"/>
  <c r="X119" i="10"/>
  <c r="Y119" i="10" s="1"/>
  <c r="N124" i="10"/>
  <c r="O124" i="10" s="1"/>
  <c r="AB117" i="10"/>
  <c r="AC117" i="10" s="1"/>
  <c r="AF115" i="10"/>
  <c r="AG115" i="10" s="1"/>
  <c r="L125" i="10"/>
  <c r="M125" i="10" s="1"/>
  <c r="T121" i="10"/>
  <c r="U121" i="10" s="1"/>
  <c r="C132" i="10" l="1"/>
  <c r="B134" i="10"/>
  <c r="AB119" i="11"/>
  <c r="AC119" i="11" s="1"/>
  <c r="H129" i="11"/>
  <c r="I129" i="11" s="1"/>
  <c r="N126" i="11"/>
  <c r="O126" i="11" s="1"/>
  <c r="Z120" i="11"/>
  <c r="AA120" i="11" s="1"/>
  <c r="J128" i="11"/>
  <c r="K128" i="11" s="1"/>
  <c r="V122" i="11"/>
  <c r="W122" i="11" s="1"/>
  <c r="R124" i="11"/>
  <c r="S124" i="11" s="1"/>
  <c r="L127" i="11"/>
  <c r="M127" i="11" s="1"/>
  <c r="T123" i="11"/>
  <c r="U123" i="11" s="1"/>
  <c r="D131" i="11"/>
  <c r="E131" i="11" s="1"/>
  <c r="AF117" i="11"/>
  <c r="AG117" i="11" s="1"/>
  <c r="B132" i="11"/>
  <c r="P125" i="11"/>
  <c r="Q125" i="11" s="1"/>
  <c r="AD118" i="11"/>
  <c r="AE118" i="11" s="1"/>
  <c r="X121" i="11"/>
  <c r="Y121" i="11" s="1"/>
  <c r="F130" i="11"/>
  <c r="G130" i="11" s="1"/>
  <c r="N125" i="10"/>
  <c r="O125" i="10" s="1"/>
  <c r="Z119" i="10"/>
  <c r="AA119" i="10" s="1"/>
  <c r="R123" i="10"/>
  <c r="S123" i="10" s="1"/>
  <c r="X120" i="10"/>
  <c r="Y120" i="10" s="1"/>
  <c r="P124" i="10"/>
  <c r="Q124" i="10" s="1"/>
  <c r="F129" i="10"/>
  <c r="G129" i="10" s="1"/>
  <c r="AF116" i="10"/>
  <c r="AG116" i="10" s="1"/>
  <c r="V121" i="10"/>
  <c r="W121" i="10" s="1"/>
  <c r="H128" i="10"/>
  <c r="I128" i="10" s="1"/>
  <c r="AB118" i="10"/>
  <c r="AC118" i="10" s="1"/>
  <c r="J127" i="10"/>
  <c r="K127" i="10" s="1"/>
  <c r="D131" i="10"/>
  <c r="E131" i="10" s="1"/>
  <c r="AD117" i="10"/>
  <c r="AE117" i="10" s="1"/>
  <c r="T122" i="10"/>
  <c r="U122" i="10" s="1"/>
  <c r="L126" i="10"/>
  <c r="M126" i="10" s="1"/>
  <c r="C132" i="11" l="1"/>
  <c r="D132" i="11" s="1"/>
  <c r="B134" i="11"/>
  <c r="R125" i="11"/>
  <c r="S125" i="11" s="1"/>
  <c r="Z121" i="11"/>
  <c r="AA121" i="11" s="1"/>
  <c r="N127" i="11"/>
  <c r="O127" i="11" s="1"/>
  <c r="AF118" i="11"/>
  <c r="AG118" i="11" s="1"/>
  <c r="P126" i="11"/>
  <c r="Q126" i="11" s="1"/>
  <c r="T124" i="11"/>
  <c r="U124" i="11" s="1"/>
  <c r="H130" i="11"/>
  <c r="I130" i="11" s="1"/>
  <c r="L128" i="11"/>
  <c r="M128" i="11" s="1"/>
  <c r="J129" i="11"/>
  <c r="K129" i="11" s="1"/>
  <c r="AB120" i="11"/>
  <c r="AC120" i="11" s="1"/>
  <c r="AD119" i="11"/>
  <c r="AE119" i="11" s="1"/>
  <c r="V123" i="11"/>
  <c r="W123" i="11" s="1"/>
  <c r="X122" i="11"/>
  <c r="Y122" i="11" s="1"/>
  <c r="F131" i="11"/>
  <c r="G131" i="11" s="1"/>
  <c r="J128" i="10"/>
  <c r="K128" i="10" s="1"/>
  <c r="AF117" i="10"/>
  <c r="AG117" i="10" s="1"/>
  <c r="T123" i="10"/>
  <c r="U123" i="10" s="1"/>
  <c r="AB119" i="10"/>
  <c r="AC119" i="10" s="1"/>
  <c r="F130" i="10"/>
  <c r="G130" i="10" s="1"/>
  <c r="R124" i="10"/>
  <c r="S124" i="10" s="1"/>
  <c r="AD118" i="10"/>
  <c r="AE118" i="10" s="1"/>
  <c r="P125" i="10"/>
  <c r="Q125" i="10" s="1"/>
  <c r="Z120" i="10"/>
  <c r="AA120" i="10" s="1"/>
  <c r="H129" i="10"/>
  <c r="I129" i="10" s="1"/>
  <c r="D132" i="10"/>
  <c r="V122" i="10"/>
  <c r="W122" i="10" s="1"/>
  <c r="N126" i="10"/>
  <c r="O126" i="10" s="1"/>
  <c r="X121" i="10"/>
  <c r="Y121" i="10" s="1"/>
  <c r="L127" i="10"/>
  <c r="M127" i="10" s="1"/>
  <c r="E132" i="11" l="1"/>
  <c r="D134" i="11"/>
  <c r="E132" i="10"/>
  <c r="D134" i="10"/>
  <c r="X123" i="11"/>
  <c r="Y123" i="11" s="1"/>
  <c r="H131" i="11"/>
  <c r="I131" i="11" s="1"/>
  <c r="N128" i="11"/>
  <c r="O128" i="11" s="1"/>
  <c r="T125" i="11"/>
  <c r="U125" i="11" s="1"/>
  <c r="J130" i="11"/>
  <c r="K130" i="11" s="1"/>
  <c r="P127" i="11"/>
  <c r="Q127" i="11" s="1"/>
  <c r="Z122" i="11"/>
  <c r="AA122" i="11" s="1"/>
  <c r="AD120" i="11"/>
  <c r="AE120" i="11" s="1"/>
  <c r="L129" i="11"/>
  <c r="M129" i="11" s="1"/>
  <c r="AF119" i="11"/>
  <c r="AG119" i="11" s="1"/>
  <c r="R126" i="11"/>
  <c r="S126" i="11" s="1"/>
  <c r="V124" i="11"/>
  <c r="W124" i="11" s="1"/>
  <c r="F132" i="11"/>
  <c r="AB121" i="11"/>
  <c r="AC121" i="11" s="1"/>
  <c r="N127" i="10"/>
  <c r="O127" i="10" s="1"/>
  <c r="F131" i="10"/>
  <c r="G131" i="10" s="1"/>
  <c r="V123" i="10"/>
  <c r="W123" i="10" s="1"/>
  <c r="J129" i="10"/>
  <c r="K129" i="10" s="1"/>
  <c r="AD119" i="10"/>
  <c r="AE119" i="10" s="1"/>
  <c r="Z121" i="10"/>
  <c r="AA121" i="10" s="1"/>
  <c r="AF118" i="10"/>
  <c r="AG118" i="10" s="1"/>
  <c r="P126" i="10"/>
  <c r="Q126" i="10" s="1"/>
  <c r="H130" i="10"/>
  <c r="I130" i="10" s="1"/>
  <c r="R125" i="10"/>
  <c r="S125" i="10" s="1"/>
  <c r="T124" i="10"/>
  <c r="U124" i="10" s="1"/>
  <c r="L128" i="10"/>
  <c r="M128" i="10" s="1"/>
  <c r="AB120" i="10"/>
  <c r="AC120" i="10" s="1"/>
  <c r="X122" i="10"/>
  <c r="Y122" i="10" s="1"/>
  <c r="G132" i="11" l="1"/>
  <c r="H132" i="11" s="1"/>
  <c r="F134" i="11"/>
  <c r="AD121" i="11"/>
  <c r="AE121" i="11" s="1"/>
  <c r="T126" i="11"/>
  <c r="U126" i="11" s="1"/>
  <c r="Z123" i="11"/>
  <c r="AA123" i="11" s="1"/>
  <c r="N129" i="11"/>
  <c r="O129" i="11" s="1"/>
  <c r="R127" i="11"/>
  <c r="S127" i="11" s="1"/>
  <c r="P128" i="11"/>
  <c r="Q128" i="11" s="1"/>
  <c r="L130" i="11"/>
  <c r="M130" i="11" s="1"/>
  <c r="J131" i="11"/>
  <c r="K131" i="11" s="1"/>
  <c r="X124" i="11"/>
  <c r="Y124" i="11" s="1"/>
  <c r="AB122" i="11"/>
  <c r="AC122" i="11" s="1"/>
  <c r="V125" i="11"/>
  <c r="W125" i="11" s="1"/>
  <c r="AF120" i="11"/>
  <c r="AG120" i="11" s="1"/>
  <c r="X123" i="10"/>
  <c r="Y123" i="10" s="1"/>
  <c r="P127" i="10"/>
  <c r="Q127" i="10" s="1"/>
  <c r="J130" i="10"/>
  <c r="K130" i="10" s="1"/>
  <c r="T125" i="10"/>
  <c r="U125" i="10" s="1"/>
  <c r="AF119" i="10"/>
  <c r="AG119" i="10" s="1"/>
  <c r="V124" i="10"/>
  <c r="W124" i="10" s="1"/>
  <c r="Z122" i="10"/>
  <c r="AA122" i="10" s="1"/>
  <c r="F132" i="10"/>
  <c r="R126" i="10"/>
  <c r="S126" i="10" s="1"/>
  <c r="H131" i="10"/>
  <c r="I131" i="10" s="1"/>
  <c r="AD120" i="10"/>
  <c r="AE120" i="10" s="1"/>
  <c r="N128" i="10"/>
  <c r="O128" i="10" s="1"/>
  <c r="L129" i="10"/>
  <c r="M129" i="10" s="1"/>
  <c r="AB121" i="10"/>
  <c r="AC121" i="10" s="1"/>
  <c r="G132" i="10" l="1"/>
  <c r="F134" i="10"/>
  <c r="I132" i="11"/>
  <c r="H134" i="11"/>
  <c r="X125" i="11"/>
  <c r="Y125" i="11" s="1"/>
  <c r="T127" i="11"/>
  <c r="U127" i="11" s="1"/>
  <c r="J132" i="11"/>
  <c r="AD122" i="11"/>
  <c r="AE122" i="11" s="1"/>
  <c r="L131" i="11"/>
  <c r="M131" i="11" s="1"/>
  <c r="N130" i="11"/>
  <c r="O130" i="11" s="1"/>
  <c r="AB123" i="11"/>
  <c r="AC123" i="11" s="1"/>
  <c r="P129" i="11"/>
  <c r="Q129" i="11" s="1"/>
  <c r="Z124" i="11"/>
  <c r="AA124" i="11" s="1"/>
  <c r="R128" i="11"/>
  <c r="S128" i="11" s="1"/>
  <c r="AF121" i="11"/>
  <c r="AG121" i="11" s="1"/>
  <c r="V126" i="11"/>
  <c r="W126" i="11" s="1"/>
  <c r="AD121" i="10"/>
  <c r="AE121" i="10" s="1"/>
  <c r="Z123" i="10"/>
  <c r="AA123" i="10" s="1"/>
  <c r="T126" i="10"/>
  <c r="U126" i="10" s="1"/>
  <c r="H132" i="10"/>
  <c r="V125" i="10"/>
  <c r="W125" i="10" s="1"/>
  <c r="J131" i="10"/>
  <c r="K131" i="10" s="1"/>
  <c r="R127" i="10"/>
  <c r="S127" i="10" s="1"/>
  <c r="P128" i="10"/>
  <c r="Q128" i="10" s="1"/>
  <c r="N129" i="10"/>
  <c r="O129" i="10" s="1"/>
  <c r="X124" i="10"/>
  <c r="Y124" i="10" s="1"/>
  <c r="AB122" i="10"/>
  <c r="AC122" i="10" s="1"/>
  <c r="L130" i="10"/>
  <c r="M130" i="10" s="1"/>
  <c r="AF120" i="10"/>
  <c r="AG120" i="10" s="1"/>
  <c r="K132" i="11" l="1"/>
  <c r="L132" i="11" s="1"/>
  <c r="J134" i="11"/>
  <c r="I132" i="10"/>
  <c r="H134" i="10"/>
  <c r="P130" i="11"/>
  <c r="Q130" i="11" s="1"/>
  <c r="AD123" i="11"/>
  <c r="AE123" i="11" s="1"/>
  <c r="AB124" i="11"/>
  <c r="AC124" i="11" s="1"/>
  <c r="R129" i="11"/>
  <c r="S129" i="11" s="1"/>
  <c r="T128" i="11"/>
  <c r="U128" i="11" s="1"/>
  <c r="N131" i="11"/>
  <c r="O131" i="11" s="1"/>
  <c r="Z125" i="11"/>
  <c r="AA125" i="11" s="1"/>
  <c r="X126" i="11"/>
  <c r="Y126" i="11" s="1"/>
  <c r="AF122" i="11"/>
  <c r="AG122" i="11" s="1"/>
  <c r="V127" i="11"/>
  <c r="W127" i="11" s="1"/>
  <c r="P129" i="10"/>
  <c r="Q129" i="10" s="1"/>
  <c r="R128" i="10"/>
  <c r="S128" i="10" s="1"/>
  <c r="T127" i="10"/>
  <c r="U127" i="10" s="1"/>
  <c r="J132" i="10"/>
  <c r="Z124" i="10"/>
  <c r="AA124" i="10" s="1"/>
  <c r="X125" i="10"/>
  <c r="Y125" i="10" s="1"/>
  <c r="N130" i="10"/>
  <c r="O130" i="10" s="1"/>
  <c r="V126" i="10"/>
  <c r="W126" i="10" s="1"/>
  <c r="AD122" i="10"/>
  <c r="AE122" i="10" s="1"/>
  <c r="L131" i="10"/>
  <c r="M131" i="10" s="1"/>
  <c r="AF121" i="10"/>
  <c r="AG121" i="10" s="1"/>
  <c r="AB123" i="10"/>
  <c r="AC123" i="10" s="1"/>
  <c r="K132" i="10" l="1"/>
  <c r="J134" i="10"/>
  <c r="M132" i="11"/>
  <c r="N132" i="11" s="1"/>
  <c r="L134" i="11"/>
  <c r="R130" i="11"/>
  <c r="S130" i="11" s="1"/>
  <c r="Z126" i="11"/>
  <c r="AA126" i="11" s="1"/>
  <c r="AB125" i="11"/>
  <c r="AC125" i="11" s="1"/>
  <c r="AD124" i="11"/>
  <c r="AE124" i="11" s="1"/>
  <c r="AF123" i="11"/>
  <c r="AG123" i="11" s="1"/>
  <c r="X127" i="11"/>
  <c r="Y127" i="11" s="1"/>
  <c r="T129" i="11"/>
  <c r="U129" i="11" s="1"/>
  <c r="P131" i="11"/>
  <c r="Q131" i="11" s="1"/>
  <c r="V128" i="11"/>
  <c r="W128" i="11" s="1"/>
  <c r="V127" i="10"/>
  <c r="W127" i="10" s="1"/>
  <c r="N131" i="10"/>
  <c r="O131" i="10" s="1"/>
  <c r="T128" i="10"/>
  <c r="U128" i="10" s="1"/>
  <c r="X126" i="10"/>
  <c r="Y126" i="10" s="1"/>
  <c r="R129" i="10"/>
  <c r="S129" i="10" s="1"/>
  <c r="AD123" i="10"/>
  <c r="AE123" i="10" s="1"/>
  <c r="Z125" i="10"/>
  <c r="AA125" i="10" s="1"/>
  <c r="P130" i="10"/>
  <c r="Q130" i="10" s="1"/>
  <c r="AB124" i="10"/>
  <c r="AC124" i="10" s="1"/>
  <c r="L132" i="10"/>
  <c r="AF122" i="10"/>
  <c r="AG122" i="10" s="1"/>
  <c r="M132" i="10" l="1"/>
  <c r="L134" i="10"/>
  <c r="O132" i="11"/>
  <c r="N134" i="11"/>
  <c r="AF124" i="11"/>
  <c r="AG124" i="11" s="1"/>
  <c r="P132" i="11"/>
  <c r="AD125" i="11"/>
  <c r="AE125" i="11" s="1"/>
  <c r="R131" i="11"/>
  <c r="S131" i="11" s="1"/>
  <c r="T130" i="11"/>
  <c r="U130" i="11" s="1"/>
  <c r="X128" i="11"/>
  <c r="Y128" i="11" s="1"/>
  <c r="AB126" i="11"/>
  <c r="AC126" i="11" s="1"/>
  <c r="Z127" i="11"/>
  <c r="AA127" i="11" s="1"/>
  <c r="V129" i="11"/>
  <c r="W129" i="11" s="1"/>
  <c r="P131" i="10"/>
  <c r="Q131" i="10" s="1"/>
  <c r="X127" i="10"/>
  <c r="Y127" i="10" s="1"/>
  <c r="Z126" i="10"/>
  <c r="AA126" i="10" s="1"/>
  <c r="T129" i="10"/>
  <c r="U129" i="10" s="1"/>
  <c r="AD124" i="10"/>
  <c r="AE124" i="10" s="1"/>
  <c r="N132" i="10"/>
  <c r="AF123" i="10"/>
  <c r="AG123" i="10" s="1"/>
  <c r="R130" i="10"/>
  <c r="S130" i="10" s="1"/>
  <c r="V128" i="10"/>
  <c r="W128" i="10" s="1"/>
  <c r="AB125" i="10"/>
  <c r="AC125" i="10" s="1"/>
  <c r="O132" i="10" l="1"/>
  <c r="N134" i="10"/>
  <c r="Q132" i="11"/>
  <c r="R132" i="11" s="1"/>
  <c r="S132" i="11" s="1"/>
  <c r="P134" i="11"/>
  <c r="AG135" i="11" s="1"/>
  <c r="AB127" i="11"/>
  <c r="AC127" i="11" s="1"/>
  <c r="AD126" i="11"/>
  <c r="AE126" i="11" s="1"/>
  <c r="Z128" i="11"/>
  <c r="AA128" i="11" s="1"/>
  <c r="X129" i="11"/>
  <c r="Y129" i="11" s="1"/>
  <c r="T131" i="11"/>
  <c r="U131" i="11" s="1"/>
  <c r="AF125" i="11"/>
  <c r="AG125" i="11" s="1"/>
  <c r="V130" i="11"/>
  <c r="W130" i="11" s="1"/>
  <c r="R131" i="10"/>
  <c r="S131" i="10" s="1"/>
  <c r="T130" i="10"/>
  <c r="U130" i="10" s="1"/>
  <c r="AF124" i="10"/>
  <c r="AG124" i="10" s="1"/>
  <c r="Z127" i="10"/>
  <c r="AA127" i="10" s="1"/>
  <c r="X128" i="10"/>
  <c r="Y128" i="10" s="1"/>
  <c r="V129" i="10"/>
  <c r="W129" i="10" s="1"/>
  <c r="AD125" i="10"/>
  <c r="AE125" i="10" s="1"/>
  <c r="P132" i="10"/>
  <c r="AB126" i="10"/>
  <c r="AC126" i="10" s="1"/>
  <c r="Q132" i="10" l="1"/>
  <c r="P134" i="10"/>
  <c r="AG135" i="10" s="1"/>
  <c r="Z129" i="11"/>
  <c r="AA129" i="11" s="1"/>
  <c r="AF126" i="11"/>
  <c r="AG126" i="11" s="1"/>
  <c r="AD127" i="11"/>
  <c r="AE127" i="11" s="1"/>
  <c r="AB128" i="11"/>
  <c r="AC128" i="11" s="1"/>
  <c r="T132" i="11"/>
  <c r="U132" i="11" s="1"/>
  <c r="X130" i="11"/>
  <c r="Y130" i="11" s="1"/>
  <c r="V131" i="11"/>
  <c r="W131" i="11" s="1"/>
  <c r="Z128" i="10"/>
  <c r="AA128" i="10" s="1"/>
  <c r="AD126" i="10"/>
  <c r="AE126" i="10" s="1"/>
  <c r="AF125" i="10"/>
  <c r="AG125" i="10" s="1"/>
  <c r="T131" i="10"/>
  <c r="U131" i="10" s="1"/>
  <c r="V130" i="10"/>
  <c r="W130" i="10" s="1"/>
  <c r="X129" i="10"/>
  <c r="Y129" i="10" s="1"/>
  <c r="R132" i="10"/>
  <c r="S132" i="10" s="1"/>
  <c r="AB127" i="10"/>
  <c r="AC127" i="10" s="1"/>
  <c r="AB129" i="11" l="1"/>
  <c r="AC129" i="11" s="1"/>
  <c r="AD128" i="11"/>
  <c r="AE128" i="11" s="1"/>
  <c r="AF127" i="11"/>
  <c r="AG127" i="11" s="1"/>
  <c r="X131" i="11"/>
  <c r="Y131" i="11" s="1"/>
  <c r="Z130" i="11"/>
  <c r="AA130" i="11" s="1"/>
  <c r="V132" i="11"/>
  <c r="W132" i="11" s="1"/>
  <c r="T132" i="10"/>
  <c r="U132" i="10" s="1"/>
  <c r="AF126" i="10"/>
  <c r="AG126" i="10" s="1"/>
  <c r="AD127" i="10"/>
  <c r="AE127" i="10" s="1"/>
  <c r="X130" i="10"/>
  <c r="Y130" i="10" s="1"/>
  <c r="V131" i="10"/>
  <c r="W131" i="10" s="1"/>
  <c r="Z129" i="10"/>
  <c r="AA129" i="10" s="1"/>
  <c r="AB128" i="10"/>
  <c r="AC128" i="10" s="1"/>
  <c r="X132" i="11" l="1"/>
  <c r="Y132" i="11" s="1"/>
  <c r="AF128" i="11"/>
  <c r="AG128" i="11" s="1"/>
  <c r="AD129" i="11"/>
  <c r="AE129" i="11" s="1"/>
  <c r="Z131" i="11"/>
  <c r="AA131" i="11" s="1"/>
  <c r="AB130" i="11"/>
  <c r="AC130" i="11" s="1"/>
  <c r="X131" i="10"/>
  <c r="Y131" i="10" s="1"/>
  <c r="AB129" i="10"/>
  <c r="AC129" i="10" s="1"/>
  <c r="AD128" i="10"/>
  <c r="AE128" i="10" s="1"/>
  <c r="AF127" i="10"/>
  <c r="AG127" i="10" s="1"/>
  <c r="Z130" i="10"/>
  <c r="AA130" i="10" s="1"/>
  <c r="V132" i="10"/>
  <c r="W132" i="10" s="1"/>
  <c r="AD130" i="11" l="1"/>
  <c r="AE130" i="11" s="1"/>
  <c r="Z132" i="11"/>
  <c r="AA132" i="11" s="1"/>
  <c r="AF129" i="11"/>
  <c r="AG129" i="11" s="1"/>
  <c r="AB131" i="11"/>
  <c r="AC131" i="11" s="1"/>
  <c r="Z131" i="10"/>
  <c r="AA131" i="10" s="1"/>
  <c r="AB130" i="10"/>
  <c r="AC130" i="10" s="1"/>
  <c r="AF128" i="10"/>
  <c r="AG128" i="10" s="1"/>
  <c r="AD129" i="10"/>
  <c r="AE129" i="10" s="1"/>
  <c r="X132" i="10"/>
  <c r="Y132" i="10" s="1"/>
  <c r="AB132" i="11" l="1"/>
  <c r="AC132" i="11" s="1"/>
  <c r="AF130" i="11"/>
  <c r="AG130" i="11" s="1"/>
  <c r="AD131" i="11"/>
  <c r="AE131" i="11" s="1"/>
  <c r="AD130" i="10"/>
  <c r="AE130" i="10" s="1"/>
  <c r="AF129" i="10"/>
  <c r="AG129" i="10" s="1"/>
  <c r="AB131" i="10"/>
  <c r="AC131" i="10" s="1"/>
  <c r="Z132" i="10"/>
  <c r="AA132" i="10" s="1"/>
  <c r="AD132" i="11" l="1"/>
  <c r="AE132" i="11" s="1"/>
  <c r="AF131" i="11"/>
  <c r="AG131" i="11" s="1"/>
  <c r="AB132" i="10"/>
  <c r="AC132" i="10" s="1"/>
  <c r="AD131" i="10"/>
  <c r="AE131" i="10" s="1"/>
  <c r="AF130" i="10"/>
  <c r="AG130" i="10" s="1"/>
  <c r="AF132" i="11" l="1"/>
  <c r="AG132" i="11" s="1"/>
  <c r="AF131" i="10"/>
  <c r="AG131" i="10" s="1"/>
  <c r="AD132" i="10"/>
  <c r="AE132" i="10" s="1"/>
  <c r="AF132" i="10" l="1"/>
  <c r="AG132" i="10" s="1"/>
  <c r="E4" i="8" l="1"/>
  <c r="H11" i="8"/>
  <c r="E9" i="8"/>
  <c r="C8" i="8"/>
  <c r="E8" i="8" s="1"/>
  <c r="F7" i="8"/>
  <c r="F6" i="8"/>
  <c r="C5" i="8"/>
  <c r="C11" i="8" l="1"/>
  <c r="D9" i="8" s="1"/>
  <c r="D10" i="8" l="1"/>
  <c r="D8" i="8"/>
  <c r="D11" i="8"/>
  <c r="D7" i="8"/>
  <c r="D6" i="8"/>
  <c r="D5" i="8"/>
  <c r="D4" i="8"/>
  <c r="E9" i="7" l="1"/>
  <c r="C13" i="7"/>
  <c r="E11" i="7" s="1"/>
  <c r="E13" i="7" s="1"/>
  <c r="E11" i="8" l="1"/>
  <c r="F11" i="8" s="1"/>
  <c r="F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Sergey</author>
  </authors>
  <commentList>
    <comment ref="C5" authorId="0" shapeId="0" xr:uid="{1BFF56CC-ADF2-4F80-BCEA-8ED806C4DAB2}">
      <text>
        <r>
          <rPr>
            <b/>
            <sz val="9"/>
            <color indexed="81"/>
            <rFont val="Tahoma"/>
            <family val="2"/>
            <charset val="204"/>
          </rPr>
          <t>Sergey:</t>
        </r>
        <r>
          <rPr>
            <sz val="9"/>
            <color indexed="81"/>
            <rFont val="Tahoma"/>
            <family val="2"/>
            <charset val="204"/>
          </rPr>
          <t xml:space="preserve">
Это полная стоимость квартиры или сколько отдала уже за нее?</t>
        </r>
      </text>
    </comment>
    <comment ref="C6" authorId="0" shapeId="0" xr:uid="{5FB16658-EEF2-4C8E-978F-543FF5692F2C}">
      <text>
        <r>
          <rPr>
            <b/>
            <sz val="9"/>
            <color indexed="81"/>
            <rFont val="Tahoma"/>
            <family val="2"/>
            <charset val="204"/>
          </rPr>
          <t>Sergey:</t>
        </r>
        <r>
          <rPr>
            <sz val="9"/>
            <color indexed="81"/>
            <rFont val="Tahoma"/>
            <family val="2"/>
            <charset val="204"/>
          </rPr>
          <t xml:space="preserve">
Это квартира, в которой ты живешь? А в какой живет мама и она не сдается в аренду?</t>
        </r>
      </text>
    </comment>
    <comment ref="C10" authorId="0" shapeId="0" xr:uid="{85FB6CBF-92FE-4275-AA53-3DFC356D86D7}">
      <text>
        <r>
          <rPr>
            <b/>
            <sz val="9"/>
            <color indexed="81"/>
            <rFont val="Tahoma"/>
            <family val="2"/>
            <charset val="204"/>
          </rPr>
          <t>Sergey:</t>
        </r>
        <r>
          <rPr>
            <sz val="9"/>
            <color indexed="81"/>
            <rFont val="Tahoma"/>
            <family val="2"/>
            <charset val="204"/>
          </rPr>
          <t xml:space="preserve">
Какие? Кто брокер?</t>
        </r>
      </text>
    </comment>
  </commentList>
</comments>
</file>

<file path=xl/sharedStrings.xml><?xml version="1.0" encoding="utf-8"?>
<sst xmlns="http://schemas.openxmlformats.org/spreadsheetml/2006/main" count="260" uniqueCount="64">
  <si>
    <t>Актив</t>
  </si>
  <si>
    <t>Стоимость</t>
  </si>
  <si>
    <t>Валюта</t>
  </si>
  <si>
    <t>рубли</t>
  </si>
  <si>
    <t>Вид обязательства</t>
  </si>
  <si>
    <t>Регулярный платеж</t>
  </si>
  <si>
    <t>Процентная ставка</t>
  </si>
  <si>
    <t>Плановая дата погашения</t>
  </si>
  <si>
    <t>ИТОГО</t>
  </si>
  <si>
    <t>Начальная сумма долга</t>
  </si>
  <si>
    <t>Текущая сумма задолженности</t>
  </si>
  <si>
    <t>Общий срок кредита</t>
  </si>
  <si>
    <t>5 лет</t>
  </si>
  <si>
    <t>АКТИВ баланса</t>
  </si>
  <si>
    <t>ПАССИВ баланса</t>
  </si>
  <si>
    <t>Итого, обязательства</t>
  </si>
  <si>
    <t>Собственный капитал</t>
  </si>
  <si>
    <t>Активы</t>
  </si>
  <si>
    <t>Обязательства</t>
  </si>
  <si>
    <t>% от общего</t>
  </si>
  <si>
    <t>Доход, в мес.</t>
  </si>
  <si>
    <t xml:space="preserve">Доходн., 
% годовых </t>
  </si>
  <si>
    <t>Название</t>
  </si>
  <si>
    <t xml:space="preserve">Задолженность </t>
  </si>
  <si>
    <t>Ставка%</t>
  </si>
  <si>
    <t>Ежемесячный взнос</t>
  </si>
  <si>
    <t>1к квартира</t>
  </si>
  <si>
    <t>?</t>
  </si>
  <si>
    <t>долг</t>
  </si>
  <si>
    <t>2к квартира</t>
  </si>
  <si>
    <t>подземный паркинг</t>
  </si>
  <si>
    <t>депозит дол</t>
  </si>
  <si>
    <t>по курсу от 40 до 60</t>
  </si>
  <si>
    <t>депозит руб</t>
  </si>
  <si>
    <t>акции</t>
  </si>
  <si>
    <t>Сделать расчет доли агрессивных инвестиций для остижения дожодности 15%</t>
  </si>
  <si>
    <t>Предложения по облигациям и СП</t>
  </si>
  <si>
    <t>Кредитная карта 1</t>
  </si>
  <si>
    <t>Потебительский кредит</t>
  </si>
  <si>
    <t>5лет</t>
  </si>
  <si>
    <t>Кредитная карта 2</t>
  </si>
  <si>
    <t>Кредитная карта 3</t>
  </si>
  <si>
    <t>Кредитная карта 4</t>
  </si>
  <si>
    <t>Кредитная карта 5</t>
  </si>
  <si>
    <t>Долги физ.лицам</t>
  </si>
  <si>
    <t>Начальная доп. сумма</t>
  </si>
  <si>
    <t>Наименьший долг</t>
  </si>
  <si>
    <t>Наибольший долг</t>
  </si>
  <si>
    <t>Auto</t>
  </si>
  <si>
    <t>Долг</t>
  </si>
  <si>
    <t>Мин. платеж</t>
  </si>
  <si>
    <t>Ставка</t>
  </si>
  <si>
    <t>Потребительский кредит</t>
  </si>
  <si>
    <t>Долг физлицам</t>
  </si>
  <si>
    <t>Кредит</t>
  </si>
  <si>
    <t>Метод снежного кома</t>
  </si>
  <si>
    <t>Месяц</t>
  </si>
  <si>
    <t>Платеж</t>
  </si>
  <si>
    <t>Остаток</t>
  </si>
  <si>
    <t>Наибольшая ставка</t>
  </si>
  <si>
    <t>Наименьшая ставка</t>
  </si>
  <si>
    <t>Регулярно дополнительно</t>
  </si>
  <si>
    <t>Метод лавины</t>
  </si>
  <si>
    <t>Ипотека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</si>
</sst>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₽&quot;_-;\-* #,##0.00\ &quot;₽&quot;_-;_-* &quot;-&quot;??\ &quot;₽&quot;_-;_-@_-"/>
    <numFmt numFmtId="165" formatCode="_-* #,##0\ &quot;₽&quot;_-;\-* #,##0\ &quot;₽&quot;_-;_-* &quot;-&quot;??\ &quot;₽&quot;_-;_-@_-"/>
    <numFmt numFmtId="166" formatCode="0.0%"/>
    <numFmt numFmtId="167" formatCode="#,##0\ &quot;₽&quot;"/>
    <numFmt numFmtId="168" formatCode="_(&quot;$&quot;* #,##0.00_);_(&quot;$&quot;* \(#,##0.00\);_(&quot;$&quot;* &quot;-&quot;??_);_(@_)"/>
    <numFmt numFmtId="169" formatCode="_-* #,##0.00\ [$₽-419]_-;\-* #,##0.00\ [$₽-419]_-;_-* &quot;-&quot;??\ [$₽-419]_-;_-@_-"/>
    <numFmt numFmtId="170" formatCode="_-* #,##0\ [$₽-419]_-;\-* #,##0\ [$₽-419]_-;_-* &quot;-&quot;??\ [$₽-419]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5"/>
      <name val="Arial Black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0" fillId="0" borderId="4" xfId="0" applyBorder="1"/>
    <xf numFmtId="0" fontId="0" fillId="6" borderId="1" xfId="0" applyFill="1" applyBorder="1"/>
    <xf numFmtId="165" fontId="0" fillId="6" borderId="1" xfId="1" applyNumberFormat="1" applyFont="1" applyFill="1" applyBorder="1"/>
    <xf numFmtId="0" fontId="0" fillId="7" borderId="1" xfId="0" applyFill="1" applyBorder="1"/>
    <xf numFmtId="165" fontId="0" fillId="7" borderId="1" xfId="1" applyNumberFormat="1" applyFont="1" applyFill="1" applyBorder="1"/>
    <xf numFmtId="0" fontId="2" fillId="6" borderId="1" xfId="0" applyFont="1" applyFill="1" applyBorder="1"/>
    <xf numFmtId="165" fontId="2" fillId="6" borderId="1" xfId="1" applyNumberFormat="1" applyFont="1" applyFill="1" applyBorder="1"/>
    <xf numFmtId="0" fontId="2" fillId="7" borderId="1" xfId="0" applyFont="1" applyFill="1" applyBorder="1"/>
    <xf numFmtId="165" fontId="2" fillId="7" borderId="1" xfId="1" applyNumberFormat="1" applyFont="1" applyFill="1" applyBorder="1"/>
    <xf numFmtId="0" fontId="4" fillId="0" borderId="0" xfId="2" applyFont="1" applyAlignment="1"/>
    <xf numFmtId="0" fontId="6" fillId="8" borderId="7" xfId="2" applyFont="1" applyFill="1" applyBorder="1" applyAlignment="1">
      <alignment horizontal="center" vertical="center"/>
    </xf>
    <xf numFmtId="0" fontId="6" fillId="8" borderId="8" xfId="2" applyFont="1" applyFill="1" applyBorder="1" applyAlignment="1">
      <alignment horizontal="center" vertical="center"/>
    </xf>
    <xf numFmtId="0" fontId="6" fillId="8" borderId="8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/>
    </xf>
    <xf numFmtId="0" fontId="6" fillId="8" borderId="9" xfId="2" applyFont="1" applyFill="1" applyBorder="1" applyAlignment="1">
      <alignment horizontal="center" vertical="center" wrapText="1"/>
    </xf>
    <xf numFmtId="167" fontId="7" fillId="0" borderId="1" xfId="2" applyNumberFormat="1" applyFont="1" applyBorder="1" applyAlignment="1">
      <alignment horizontal="center" vertical="center"/>
    </xf>
    <xf numFmtId="166" fontId="7" fillId="0" borderId="10" xfId="3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166" fontId="0" fillId="0" borderId="1" xfId="3" applyNumberFormat="1" applyFont="1" applyBorder="1" applyAlignment="1">
      <alignment horizontal="center" vertical="center"/>
    </xf>
    <xf numFmtId="166" fontId="0" fillId="0" borderId="0" xfId="3" applyNumberFormat="1" applyFont="1" applyAlignment="1"/>
    <xf numFmtId="0" fontId="7" fillId="0" borderId="1" xfId="2" applyFont="1" applyBorder="1" applyAlignment="1">
      <alignment vertical="center"/>
    </xf>
    <xf numFmtId="167" fontId="7" fillId="0" borderId="1" xfId="2" applyNumberFormat="1" applyFont="1" applyBorder="1" applyAlignment="1">
      <alignment vertical="center"/>
    </xf>
    <xf numFmtId="166" fontId="7" fillId="0" borderId="10" xfId="3" applyNumberFormat="1" applyFont="1" applyBorder="1" applyAlignment="1">
      <alignment vertical="center"/>
    </xf>
    <xf numFmtId="0" fontId="4" fillId="0" borderId="1" xfId="2" applyFont="1" applyBorder="1" applyAlignment="1">
      <alignment vertical="center"/>
    </xf>
    <xf numFmtId="167" fontId="4" fillId="0" borderId="1" xfId="2" applyNumberFormat="1" applyFont="1" applyBorder="1" applyAlignment="1">
      <alignment vertical="center"/>
    </xf>
    <xf numFmtId="0" fontId="4" fillId="0" borderId="0" xfId="2" applyFont="1" applyAlignment="1">
      <alignment vertical="center"/>
    </xf>
    <xf numFmtId="0" fontId="8" fillId="0" borderId="1" xfId="2" applyFont="1" applyBorder="1" applyAlignment="1">
      <alignment vertical="center"/>
    </xf>
    <xf numFmtId="0" fontId="9" fillId="0" borderId="1" xfId="2" applyFont="1" applyBorder="1" applyAlignment="1">
      <alignment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5" applyNumberFormat="1" applyFont="1" applyBorder="1"/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11" xfId="0" applyBorder="1" applyAlignment="1">
      <alignment horizontal="center" vertical="center"/>
    </xf>
    <xf numFmtId="0" fontId="0" fillId="0" borderId="2" xfId="0" applyBorder="1"/>
    <xf numFmtId="0" fontId="0" fillId="0" borderId="6" xfId="0" applyBorder="1"/>
    <xf numFmtId="165" fontId="0" fillId="0" borderId="3" xfId="5" applyNumberFormat="1" applyFont="1" applyBorder="1"/>
    <xf numFmtId="0" fontId="0" fillId="0" borderId="18" xfId="0" applyBorder="1" applyAlignment="1">
      <alignment horizontal="center" vertical="center"/>
    </xf>
    <xf numFmtId="9" fontId="0" fillId="0" borderId="3" xfId="6" applyFont="1" applyBorder="1"/>
    <xf numFmtId="9" fontId="0" fillId="0" borderId="1" xfId="6" applyFont="1" applyBorder="1"/>
    <xf numFmtId="0" fontId="0" fillId="9" borderId="7" xfId="0" applyFill="1" applyBorder="1"/>
    <xf numFmtId="165" fontId="0" fillId="9" borderId="8" xfId="5" applyNumberFormat="1" applyFont="1" applyFill="1" applyBorder="1"/>
    <xf numFmtId="0" fontId="0" fillId="9" borderId="8" xfId="0" applyFill="1" applyBorder="1" applyAlignment="1">
      <alignment horizontal="center" vertical="center"/>
    </xf>
    <xf numFmtId="9" fontId="0" fillId="9" borderId="8" xfId="6" applyFont="1" applyFill="1" applyBorder="1"/>
    <xf numFmtId="0" fontId="0" fillId="9" borderId="12" xfId="0" applyFill="1" applyBorder="1" applyAlignment="1">
      <alignment horizontal="center" vertical="center"/>
    </xf>
    <xf numFmtId="0" fontId="0" fillId="9" borderId="9" xfId="0" applyFill="1" applyBorder="1"/>
    <xf numFmtId="17" fontId="0" fillId="0" borderId="6" xfId="0" applyNumberFormat="1" applyBorder="1"/>
    <xf numFmtId="0" fontId="13" fillId="0" borderId="0" xfId="4"/>
    <xf numFmtId="0" fontId="13" fillId="0" borderId="0" xfId="4" applyAlignment="1">
      <alignment horizontal="center"/>
    </xf>
    <xf numFmtId="168" fontId="0" fillId="0" borderId="0" xfId="7" applyFont="1"/>
    <xf numFmtId="0" fontId="13" fillId="0" borderId="21" xfId="4" applyBorder="1"/>
    <xf numFmtId="0" fontId="13" fillId="0" borderId="22" xfId="4" applyBorder="1"/>
    <xf numFmtId="168" fontId="15" fillId="0" borderId="0" xfId="8" applyNumberFormat="1" applyAlignment="1">
      <alignment horizontal="right"/>
    </xf>
    <xf numFmtId="0" fontId="13" fillId="0" borderId="24" xfId="4" applyBorder="1"/>
    <xf numFmtId="0" fontId="13" fillId="0" borderId="25" xfId="4" applyBorder="1"/>
    <xf numFmtId="0" fontId="14" fillId="0" borderId="0" xfId="4" applyFont="1" applyAlignment="1">
      <alignment vertical="center"/>
    </xf>
    <xf numFmtId="0" fontId="16" fillId="0" borderId="0" xfId="4" applyFont="1" applyAlignment="1">
      <alignment horizontal="left" vertical="center"/>
    </xf>
    <xf numFmtId="0" fontId="17" fillId="0" borderId="20" xfId="4" applyFont="1" applyBorder="1"/>
    <xf numFmtId="168" fontId="18" fillId="0" borderId="15" xfId="7" applyFont="1" applyBorder="1"/>
    <xf numFmtId="0" fontId="17" fillId="0" borderId="26" xfId="4" applyFont="1" applyBorder="1"/>
    <xf numFmtId="168" fontId="17" fillId="0" borderId="15" xfId="7" applyFont="1" applyBorder="1"/>
    <xf numFmtId="168" fontId="19" fillId="0" borderId="21" xfId="7" applyFont="1" applyBorder="1"/>
    <xf numFmtId="168" fontId="19" fillId="0" borderId="15" xfId="7" applyFont="1" applyBorder="1"/>
    <xf numFmtId="168" fontId="19" fillId="0" borderId="22" xfId="7" applyFont="1" applyBorder="1"/>
    <xf numFmtId="0" fontId="13" fillId="0" borderId="0" xfId="4" applyBorder="1"/>
    <xf numFmtId="168" fontId="0" fillId="0" borderId="0" xfId="7" applyFont="1" applyBorder="1"/>
    <xf numFmtId="0" fontId="13" fillId="0" borderId="0" xfId="4" applyFill="1" applyAlignment="1">
      <alignment horizontal="center"/>
    </xf>
    <xf numFmtId="0" fontId="13" fillId="0" borderId="0" xfId="4" applyFill="1"/>
    <xf numFmtId="0" fontId="20" fillId="0" borderId="0" xfId="4" applyFont="1" applyFill="1" applyAlignment="1">
      <alignment horizontal="center"/>
    </xf>
    <xf numFmtId="0" fontId="20" fillId="0" borderId="0" xfId="4" applyFont="1" applyFill="1"/>
    <xf numFmtId="168" fontId="20" fillId="0" borderId="0" xfId="7" applyFont="1" applyFill="1"/>
    <xf numFmtId="170" fontId="22" fillId="0" borderId="0" xfId="4" applyNumberFormat="1" applyFont="1"/>
    <xf numFmtId="170" fontId="22" fillId="0" borderId="0" xfId="7" applyNumberFormat="1" applyFont="1"/>
    <xf numFmtId="170" fontId="22" fillId="0" borderId="0" xfId="4" applyNumberFormat="1" applyFont="1" applyFill="1"/>
    <xf numFmtId="170" fontId="22" fillId="0" borderId="0" xfId="7" applyNumberFormat="1" applyFont="1" applyFill="1"/>
    <xf numFmtId="0" fontId="17" fillId="0" borderId="0" xfId="4" applyFont="1" applyAlignment="1">
      <alignment horizontal="center" vertical="center"/>
    </xf>
    <xf numFmtId="168" fontId="17" fillId="0" borderId="0" xfId="7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2" fillId="0" borderId="27" xfId="4" applyFont="1" applyBorder="1"/>
    <xf numFmtId="169" fontId="22" fillId="7" borderId="28" xfId="7" applyNumberFormat="1" applyFont="1" applyFill="1" applyBorder="1"/>
    <xf numFmtId="169" fontId="22" fillId="7" borderId="0" xfId="7" applyNumberFormat="1" applyFont="1" applyFill="1" applyBorder="1"/>
    <xf numFmtId="169" fontId="22" fillId="7" borderId="29" xfId="7" applyNumberFormat="1" applyFont="1" applyFill="1" applyBorder="1"/>
    <xf numFmtId="0" fontId="22" fillId="0" borderId="23" xfId="4" applyFont="1" applyBorder="1"/>
    <xf numFmtId="166" fontId="22" fillId="7" borderId="30" xfId="9" applyNumberFormat="1" applyFont="1" applyFill="1" applyBorder="1"/>
    <xf numFmtId="166" fontId="22" fillId="7" borderId="24" xfId="9" applyNumberFormat="1" applyFont="1" applyFill="1" applyBorder="1"/>
    <xf numFmtId="166" fontId="22" fillId="7" borderId="25" xfId="9" applyNumberFormat="1" applyFont="1" applyFill="1" applyBorder="1"/>
    <xf numFmtId="0" fontId="14" fillId="0" borderId="21" xfId="4" applyFont="1" applyBorder="1" applyAlignment="1">
      <alignment horizontal="right" vertical="center"/>
    </xf>
    <xf numFmtId="0" fontId="14" fillId="0" borderId="24" xfId="4" applyFont="1" applyBorder="1" applyAlignment="1">
      <alignment horizontal="right" vertical="center"/>
    </xf>
    <xf numFmtId="0" fontId="22" fillId="0" borderId="20" xfId="4" applyFont="1" applyBorder="1" applyAlignment="1">
      <alignment vertical="center"/>
    </xf>
    <xf numFmtId="169" fontId="22" fillId="7" borderId="21" xfId="7" applyNumberFormat="1" applyFont="1" applyFill="1" applyBorder="1" applyAlignment="1">
      <alignment vertical="center"/>
    </xf>
    <xf numFmtId="0" fontId="22" fillId="0" borderId="23" xfId="4" applyFont="1" applyBorder="1" applyAlignment="1">
      <alignment vertical="center"/>
    </xf>
    <xf numFmtId="169" fontId="22" fillId="7" borderId="24" xfId="7" applyNumberFormat="1" applyFont="1" applyFill="1" applyBorder="1" applyAlignment="1">
      <alignment vertical="center"/>
    </xf>
    <xf numFmtId="0" fontId="16" fillId="0" borderId="0" xfId="4" applyFont="1" applyAlignment="1">
      <alignment vertical="center"/>
    </xf>
    <xf numFmtId="170" fontId="13" fillId="0" borderId="0" xfId="4" applyNumberFormat="1"/>
    <xf numFmtId="0" fontId="21" fillId="0" borderId="0" xfId="4" applyFont="1" applyAlignment="1">
      <alignment horizontal="left" vertical="top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5" fontId="3" fillId="3" borderId="19" xfId="1" applyNumberFormat="1" applyFont="1" applyFill="1" applyBorder="1" applyAlignment="1">
      <alignment horizontal="center" vertical="center"/>
    </xf>
    <xf numFmtId="165" fontId="3" fillId="3" borderId="10" xfId="1" applyNumberFormat="1" applyFont="1" applyFill="1" applyBorder="1" applyAlignment="1">
      <alignment horizontal="center" vertical="center"/>
    </xf>
    <xf numFmtId="0" fontId="5" fillId="8" borderId="2" xfId="2" applyFont="1" applyFill="1" applyBorder="1" applyAlignment="1">
      <alignment horizontal="center" vertical="center"/>
    </xf>
    <xf numFmtId="0" fontId="5" fillId="8" borderId="3" xfId="2" applyFont="1" applyFill="1" applyBorder="1" applyAlignment="1">
      <alignment horizontal="center" vertical="center"/>
    </xf>
    <xf numFmtId="0" fontId="5" fillId="8" borderId="4" xfId="2" applyFont="1" applyFill="1" applyBorder="1" applyAlignment="1">
      <alignment horizontal="center" vertical="center"/>
    </xf>
  </cellXfs>
  <cellStyles count="10">
    <cellStyle name="Гиперссылка 2" xfId="8" xr:uid="{3E8612CD-E280-4EA1-9E8C-FDF130403C91}"/>
    <cellStyle name="Денежный" xfId="1" builtinId="4"/>
    <cellStyle name="Денежный 2" xfId="5" xr:uid="{00000000-0005-0000-0000-000033000000}"/>
    <cellStyle name="Денежный 3" xfId="7" xr:uid="{13EA6E6B-7812-445E-99A1-563FE7F76A0F}"/>
    <cellStyle name="Обычный" xfId="0" builtinId="0"/>
    <cellStyle name="Обычный 2" xfId="2" xr:uid="{92C051D9-779B-433A-9CC1-A1B8EA5F61B3}"/>
    <cellStyle name="Обычный 3" xfId="4" xr:uid="{CFB8DE92-976C-440F-BFF4-7CB67FCAB19C}"/>
    <cellStyle name="Процентный 2" xfId="3" xr:uid="{EABDDACD-6A62-46B0-ADBD-CD6FA3C40555}"/>
    <cellStyle name="Процентный 3" xfId="6" xr:uid="{00000000-0005-0000-0000-000034000000}"/>
    <cellStyle name="Процентный 4" xfId="9" xr:uid="{4CB5D137-91DF-4B38-A9EB-750EE81A4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A-4D6E-A1F9-220474293C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A-4D6E-A1F9-220474293C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DA-4D6E-A1F9-220474293C6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DA-4D6E-A1F9-220474293C6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DA-4D6E-A1F9-220474293C64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DA-4D6E-A1F9-220474293C6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0DA-4D6E-A1F9-220474293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Пример!$B$4:$B$10</c:f>
              <c:strCache>
                <c:ptCount val="7"/>
                <c:pt idx="0">
                  <c:v>1к квартира</c:v>
                </c:pt>
                <c:pt idx="1">
                  <c:v>1к квартира</c:v>
                </c:pt>
                <c:pt idx="2">
                  <c:v>2к квартира</c:v>
                </c:pt>
                <c:pt idx="3">
                  <c:v>подземный паркинг</c:v>
                </c:pt>
                <c:pt idx="4">
                  <c:v>депозит дол</c:v>
                </c:pt>
                <c:pt idx="5">
                  <c:v>депозит руб</c:v>
                </c:pt>
                <c:pt idx="6">
                  <c:v>акции</c:v>
                </c:pt>
              </c:strCache>
            </c:strRef>
          </c:cat>
          <c:val>
            <c:numRef>
              <c:f>Пример!$C$4:$C$10</c:f>
              <c:numCache>
                <c:formatCode>#,##0\ "₽"</c:formatCode>
                <c:ptCount val="7"/>
                <c:pt idx="0">
                  <c:v>2800000</c:v>
                </c:pt>
                <c:pt idx="1">
                  <c:v>950000</c:v>
                </c:pt>
                <c:pt idx="2">
                  <c:v>5200000</c:v>
                </c:pt>
                <c:pt idx="3">
                  <c:v>900000</c:v>
                </c:pt>
                <c:pt idx="4">
                  <c:v>357500</c:v>
                </c:pt>
                <c:pt idx="5">
                  <c:v>200000</c:v>
                </c:pt>
                <c:pt idx="6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A-4D6E-A1F9-220474293C64}"/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B0DA-4D6E-A1F9-220474293C6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B0DA-4D6E-A1F9-220474293C6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B0DA-4D6E-A1F9-220474293C6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B0DA-4D6E-A1F9-220474293C6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B0DA-4D6E-A1F9-220474293C64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B0DA-4D6E-A1F9-220474293C6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B0DA-4D6E-A1F9-220474293C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Пример!$B$4:$B$10</c:f>
              <c:strCache>
                <c:ptCount val="7"/>
                <c:pt idx="0">
                  <c:v>1к квартира</c:v>
                </c:pt>
                <c:pt idx="1">
                  <c:v>1к квартира</c:v>
                </c:pt>
                <c:pt idx="2">
                  <c:v>2к квартира</c:v>
                </c:pt>
                <c:pt idx="3">
                  <c:v>подземный паркинг</c:v>
                </c:pt>
                <c:pt idx="4">
                  <c:v>депозит дол</c:v>
                </c:pt>
                <c:pt idx="5">
                  <c:v>депозит руб</c:v>
                </c:pt>
                <c:pt idx="6">
                  <c:v>акции</c:v>
                </c:pt>
              </c:strCache>
            </c:strRef>
          </c:cat>
          <c:val>
            <c:numRef>
              <c:f>Пример!$D$4:$D$10</c:f>
              <c:numCache>
                <c:formatCode>0.0%</c:formatCode>
                <c:ptCount val="7"/>
                <c:pt idx="0">
                  <c:v>0.26800670016750416</c:v>
                </c:pt>
                <c:pt idx="1">
                  <c:v>9.0930844699688915E-2</c:v>
                </c:pt>
                <c:pt idx="2">
                  <c:v>0.4977267288825078</c:v>
                </c:pt>
                <c:pt idx="3">
                  <c:v>8.6145010768126348E-2</c:v>
                </c:pt>
                <c:pt idx="4">
                  <c:v>3.4218712610672407E-2</c:v>
                </c:pt>
                <c:pt idx="5">
                  <c:v>1.91433357262503E-2</c:v>
                </c:pt>
                <c:pt idx="6">
                  <c:v>3.8286671452500598E-3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0DA-4D6E-A1F9-220474293C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380999</xdr:colOff>
      <xdr:row>3</xdr:row>
      <xdr:rowOff>157238</xdr:rowOff>
    </xdr:from>
    <xdr:to>
      <xdr:col>11</xdr:col>
      <xdr:colOff>970645</xdr:colOff>
      <xdr:row>5</xdr:row>
      <xdr:rowOff>72571</xdr:rowOff>
    </xdr:to>
    <xdr:sp macro="" textlink="">
      <xdr:nvSpPr>
        <xdr:cNvPr id="2" name="Isosceles Triangle 3">
          <a:extLst>
            <a:ext uri="{FF2B5EF4-FFF2-40B4-BE49-F238E27FC236}">
              <a16:creationId xmlns:a16="http://schemas.microsoft.com/office/drawing/2014/main" id="{5A7E1171-6B68-4B5B-AE4E-75039906C123}"/>
            </a:ext>
          </a:extLst>
        </xdr:cNvPr>
        <xdr:cNvSpPr/>
      </xdr:nvSpPr>
      <xdr:spPr>
        <a:xfrm rot="16200000">
          <a:off x="6755191" y="-4003526"/>
          <a:ext cx="332619" cy="9978575"/>
        </a:xfrm>
        <a:prstGeom prst="triangle">
          <a:avLst/>
        </a:prstGeom>
        <a:gradFill flip="none" rotWithShape="1">
          <a:gsLst>
            <a:gs pos="0">
              <a:srgbClr val="00B050"/>
            </a:gs>
            <a:gs pos="100000">
              <a:schemeClr val="accent2">
                <a:lumMod val="75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609298</xdr:colOff>
      <xdr:row>3</xdr:row>
      <xdr:rowOff>148167</xdr:rowOff>
    </xdr:from>
    <xdr:to>
      <xdr:col>11</xdr:col>
      <xdr:colOff>988789</xdr:colOff>
      <xdr:row>5</xdr:row>
      <xdr:rowOff>72572</xdr:rowOff>
    </xdr:to>
    <xdr:sp macro="" textlink="">
      <xdr:nvSpPr>
        <xdr:cNvPr id="2" name="Isosceles Triangle 3">
          <a:extLst>
            <a:ext uri="{FF2B5EF4-FFF2-40B4-BE49-F238E27FC236}">
              <a16:creationId xmlns:a16="http://schemas.microsoft.com/office/drawing/2014/main" id="{17B7019F-B309-4E31-8544-4CC31340B70D}"/>
            </a:ext>
          </a:extLst>
        </xdr:cNvPr>
        <xdr:cNvSpPr/>
      </xdr:nvSpPr>
      <xdr:spPr>
        <a:xfrm rot="5400000">
          <a:off x="6873876" y="-3902983"/>
          <a:ext cx="341691" cy="9768420"/>
        </a:xfrm>
        <a:prstGeom prst="triangle">
          <a:avLst>
            <a:gd name="adj" fmla="val 47115"/>
          </a:avLst>
        </a:prstGeom>
        <a:gradFill flip="none" rotWithShape="1">
          <a:gsLst>
            <a:gs pos="0">
              <a:srgbClr val="00B050"/>
            </a:gs>
            <a:gs pos="100000">
              <a:schemeClr val="accent2">
                <a:lumMod val="75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0</xdr:row>
      <xdr:rowOff>165098</xdr:rowOff>
    </xdr:from>
    <xdr:to>
      <xdr:col>12</xdr:col>
      <xdr:colOff>865188</xdr:colOff>
      <xdr:row>10</xdr:row>
      <xdr:rowOff>238125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DC505D-ECA4-4337-8280-5652C9093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neDrive/0.%20&#1053;&#1086;&#1074;&#1099;&#1081;%20&#1087;&#1088;&#1086;&#1077;&#1082;&#1090;/&#1044;&#1083;&#1103;%20&#1086;&#1085;-&#1083;&#1072;&#1081;&#1085;%20&#1096;&#1082;&#1086;&#1083;&#1099;/&#1046;&#1080;&#1079;&#1085;&#1100;%20&#1074;%20&#1076;&#1086;&#1089;&#1090;&#1072;&#1090;&#1082;&#1077;/&#1044;&#1083;&#1103;%20&#1079;&#1072;&#1087;&#1091;&#1089;&#1082;&#1072;/&#1052;&#1072;&#1090;&#1077;&#1088;&#1080;&#1072;&#1083;&#1099;/FP_v6.5%20(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  <sheetName val="products"/>
      <sheetName val="print"/>
      <sheetName val="анкета"/>
      <sheetName val="PnL1"/>
      <sheetName val="PnL2"/>
      <sheetName val="calc"/>
      <sheetName val="src"/>
      <sheetName val="graph_1"/>
      <sheetName val="graph_2"/>
      <sheetName val="tech#1"/>
      <sheetName val="tech#2"/>
      <sheetName val="tech#3"/>
      <sheetName val="tech#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2">
          <cell r="B2" t="str">
            <v>январь</v>
          </cell>
          <cell r="E2">
            <v>2016</v>
          </cell>
          <cell r="N2" t="str">
            <v>EUR</v>
          </cell>
        </row>
        <row r="3">
          <cell r="B3" t="str">
            <v>февраль</v>
          </cell>
          <cell r="E3">
            <v>2017</v>
          </cell>
          <cell r="N3" t="str">
            <v>USD</v>
          </cell>
        </row>
        <row r="4">
          <cell r="B4" t="str">
            <v>март</v>
          </cell>
          <cell r="E4">
            <v>2018</v>
          </cell>
          <cell r="N4" t="str">
            <v>GBP</v>
          </cell>
        </row>
        <row r="5">
          <cell r="B5" t="str">
            <v>апрель</v>
          </cell>
          <cell r="E5">
            <v>2019</v>
          </cell>
          <cell r="N5" t="str">
            <v>RUB</v>
          </cell>
        </row>
        <row r="6">
          <cell r="B6" t="str">
            <v>май</v>
          </cell>
          <cell r="E6">
            <v>2020</v>
          </cell>
        </row>
        <row r="7">
          <cell r="B7" t="str">
            <v>июнь</v>
          </cell>
          <cell r="E7">
            <v>2021</v>
          </cell>
        </row>
        <row r="8">
          <cell r="B8" t="str">
            <v>июль</v>
          </cell>
          <cell r="E8">
            <v>2022</v>
          </cell>
        </row>
        <row r="9">
          <cell r="B9" t="str">
            <v>август</v>
          </cell>
          <cell r="E9">
            <v>2023</v>
          </cell>
        </row>
        <row r="10">
          <cell r="B10" t="str">
            <v>сентябрь</v>
          </cell>
          <cell r="E10">
            <v>2024</v>
          </cell>
        </row>
        <row r="11">
          <cell r="B11" t="str">
            <v>октябрь</v>
          </cell>
          <cell r="E11">
            <v>2025</v>
          </cell>
        </row>
        <row r="12">
          <cell r="B12" t="str">
            <v>ноябрь</v>
          </cell>
          <cell r="E12">
            <v>2026</v>
          </cell>
        </row>
        <row r="13">
          <cell r="B13" t="str">
            <v>декабрь</v>
          </cell>
          <cell r="E13">
            <v>2027</v>
          </cell>
        </row>
        <row r="14">
          <cell r="E14">
            <v>2028</v>
          </cell>
        </row>
        <row r="15">
          <cell r="E15">
            <v>2029</v>
          </cell>
        </row>
        <row r="16">
          <cell r="E16">
            <v>2030</v>
          </cell>
        </row>
        <row r="17">
          <cell r="E17">
            <v>2031</v>
          </cell>
        </row>
        <row r="18">
          <cell r="E18">
            <v>2032</v>
          </cell>
        </row>
        <row r="19">
          <cell r="E19">
            <v>2033</v>
          </cell>
        </row>
        <row r="20">
          <cell r="E20">
            <v>2034</v>
          </cell>
        </row>
        <row r="21">
          <cell r="E21">
            <v>2035</v>
          </cell>
        </row>
        <row r="22">
          <cell r="E22">
            <v>2036</v>
          </cell>
        </row>
        <row r="23">
          <cell r="E23">
            <v>2037</v>
          </cell>
        </row>
        <row r="24">
          <cell r="E24">
            <v>2038</v>
          </cell>
        </row>
        <row r="25">
          <cell r="E25">
            <v>2039</v>
          </cell>
        </row>
        <row r="26">
          <cell r="E26">
            <v>2040</v>
          </cell>
        </row>
        <row r="27">
          <cell r="E27">
            <v>2041</v>
          </cell>
        </row>
        <row r="28">
          <cell r="E28">
            <v>2042</v>
          </cell>
        </row>
        <row r="29">
          <cell r="E29">
            <v>2043</v>
          </cell>
        </row>
        <row r="30">
          <cell r="E30">
            <v>2044</v>
          </cell>
        </row>
        <row r="31">
          <cell r="E31">
            <v>2045</v>
          </cell>
        </row>
        <row r="32">
          <cell r="E32">
            <v>2046</v>
          </cell>
        </row>
        <row r="33">
          <cell r="E33">
            <v>2047</v>
          </cell>
        </row>
        <row r="34">
          <cell r="E34">
            <v>2048</v>
          </cell>
        </row>
        <row r="35">
          <cell r="E35">
            <v>2049</v>
          </cell>
        </row>
        <row r="36">
          <cell r="E36">
            <v>2050</v>
          </cell>
        </row>
        <row r="37">
          <cell r="E37">
            <v>2051</v>
          </cell>
        </row>
        <row r="38">
          <cell r="E38">
            <v>2052</v>
          </cell>
        </row>
        <row r="39">
          <cell r="E39">
            <v>2053</v>
          </cell>
        </row>
        <row r="40">
          <cell r="E40">
            <v>2054</v>
          </cell>
        </row>
        <row r="41">
          <cell r="E41">
            <v>2055</v>
          </cell>
        </row>
        <row r="42">
          <cell r="E42">
            <v>2056</v>
          </cell>
        </row>
        <row r="43">
          <cell r="E43">
            <v>2057</v>
          </cell>
        </row>
        <row r="44">
          <cell r="E44">
            <v>2058</v>
          </cell>
        </row>
        <row r="45">
          <cell r="E45">
            <v>2059</v>
          </cell>
        </row>
        <row r="46">
          <cell r="E46">
            <v>2060</v>
          </cell>
        </row>
        <row r="47">
          <cell r="E47">
            <v>2061</v>
          </cell>
        </row>
        <row r="48">
          <cell r="E48">
            <v>2062</v>
          </cell>
        </row>
        <row r="49">
          <cell r="E49">
            <v>2063</v>
          </cell>
        </row>
        <row r="50">
          <cell r="E50">
            <v>2064</v>
          </cell>
        </row>
        <row r="51">
          <cell r="E51">
            <v>2065</v>
          </cell>
        </row>
        <row r="52">
          <cell r="E52">
            <v>2066</v>
          </cell>
        </row>
        <row r="53">
          <cell r="E53">
            <v>2067</v>
          </cell>
        </row>
        <row r="54">
          <cell r="E54">
            <v>2068</v>
          </cell>
        </row>
        <row r="55">
          <cell r="E55">
            <v>2069</v>
          </cell>
        </row>
        <row r="56">
          <cell r="E56">
            <v>2070</v>
          </cell>
        </row>
        <row r="57">
          <cell r="E57">
            <v>2071</v>
          </cell>
        </row>
        <row r="58">
          <cell r="E58">
            <v>2072</v>
          </cell>
        </row>
        <row r="59">
          <cell r="E59">
            <v>2073</v>
          </cell>
        </row>
        <row r="60">
          <cell r="E60">
            <v>2074</v>
          </cell>
        </row>
        <row r="61">
          <cell r="E61">
            <v>2075</v>
          </cell>
        </row>
        <row r="62">
          <cell r="E62">
            <v>2076</v>
          </cell>
        </row>
        <row r="63">
          <cell r="E63">
            <v>2077</v>
          </cell>
        </row>
        <row r="64">
          <cell r="E64">
            <v>2078</v>
          </cell>
        </row>
        <row r="65">
          <cell r="E65">
            <v>2079</v>
          </cell>
        </row>
        <row r="66">
          <cell r="E66">
            <v>2080</v>
          </cell>
        </row>
        <row r="67">
          <cell r="E67">
            <v>2081</v>
          </cell>
        </row>
        <row r="68">
          <cell r="E68">
            <v>2082</v>
          </cell>
        </row>
        <row r="69">
          <cell r="E69">
            <v>2083</v>
          </cell>
        </row>
        <row r="70">
          <cell r="E70">
            <v>2084</v>
          </cell>
        </row>
        <row r="71">
          <cell r="E71">
            <v>2085</v>
          </cell>
        </row>
        <row r="72">
          <cell r="E72">
            <v>2086</v>
          </cell>
        </row>
        <row r="73">
          <cell r="E73">
            <v>2087</v>
          </cell>
        </row>
        <row r="74">
          <cell r="E74">
            <v>2088</v>
          </cell>
        </row>
        <row r="75">
          <cell r="E75">
            <v>2089</v>
          </cell>
        </row>
        <row r="76">
          <cell r="E76">
            <v>2090</v>
          </cell>
        </row>
        <row r="77">
          <cell r="E77">
            <v>2091</v>
          </cell>
        </row>
        <row r="78">
          <cell r="E78">
            <v>2092</v>
          </cell>
        </row>
        <row r="79">
          <cell r="E79">
            <v>2093</v>
          </cell>
        </row>
        <row r="80">
          <cell r="E80">
            <v>2094</v>
          </cell>
        </row>
        <row r="81">
          <cell r="E81">
            <v>2095</v>
          </cell>
        </row>
        <row r="82">
          <cell r="E82">
            <v>2096</v>
          </cell>
        </row>
        <row r="83">
          <cell r="E83">
            <v>2097</v>
          </cell>
        </row>
        <row r="84">
          <cell r="E84">
            <v>2098</v>
          </cell>
        </row>
        <row r="85">
          <cell r="E85">
            <v>2099</v>
          </cell>
        </row>
        <row r="86">
          <cell r="E86">
            <v>2100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24A2-A30F-4956-95CB-ABBAC12D7D35}">
  <dimension ref="B2:I12"/>
  <sheetViews>
    <sheetView workbookViewId="0">
      <selection activeCell="C17" sqref="C17"/>
    </sheetView>
  </sheetViews>
  <sheetFormatPr defaultColWidth="8.81640625" defaultRowHeight="14.5" x14ac:dyDescent="0.35"/>
  <cols>
    <col min="1" max="1" width="8.81640625" style="36"/>
    <col min="2" max="2" width="24" style="36" customWidth="1"/>
    <col min="3" max="3" width="13.1796875" style="36" customWidth="1"/>
    <col min="4" max="4" width="15.81640625" style="36" customWidth="1"/>
    <col min="5" max="5" width="10.36328125" style="37" customWidth="1"/>
    <col min="6" max="6" width="13.6328125" style="36" customWidth="1"/>
    <col min="7" max="7" width="11.81640625" style="36" customWidth="1"/>
    <col min="8" max="8" width="12.08984375" style="37" customWidth="1"/>
    <col min="9" max="9" width="16.6328125" style="36" customWidth="1"/>
    <col min="10" max="16384" width="8.81640625" style="36"/>
  </cols>
  <sheetData>
    <row r="2" spans="2:9" ht="15" thickBot="1" x14ac:dyDescent="0.4"/>
    <row r="3" spans="2:9" ht="30.5" customHeight="1" thickBot="1" x14ac:dyDescent="0.4">
      <c r="B3" s="2" t="s">
        <v>4</v>
      </c>
      <c r="C3" s="3" t="s">
        <v>9</v>
      </c>
      <c r="D3" s="3" t="s">
        <v>10</v>
      </c>
      <c r="E3" s="4" t="s">
        <v>2</v>
      </c>
      <c r="F3" s="4" t="s">
        <v>5</v>
      </c>
      <c r="G3" s="5" t="s">
        <v>6</v>
      </c>
      <c r="H3" s="5" t="s">
        <v>11</v>
      </c>
      <c r="I3" s="5" t="s">
        <v>7</v>
      </c>
    </row>
    <row r="4" spans="2:9" x14ac:dyDescent="0.35">
      <c r="B4" s="43" t="s">
        <v>42</v>
      </c>
      <c r="C4" s="45">
        <v>168000</v>
      </c>
      <c r="D4" s="45">
        <v>161000</v>
      </c>
      <c r="E4" s="40" t="s">
        <v>3</v>
      </c>
      <c r="F4" s="45">
        <v>8500</v>
      </c>
      <c r="G4" s="47">
        <v>0.38</v>
      </c>
      <c r="H4" s="46" t="s">
        <v>39</v>
      </c>
      <c r="I4" s="6" t="s">
        <v>27</v>
      </c>
    </row>
    <row r="5" spans="2:9" x14ac:dyDescent="0.35">
      <c r="B5" s="41" t="s">
        <v>41</v>
      </c>
      <c r="C5" s="39">
        <v>100000</v>
      </c>
      <c r="D5" s="39">
        <v>98000</v>
      </c>
      <c r="E5" s="38" t="s">
        <v>3</v>
      </c>
      <c r="F5" s="39">
        <v>7500</v>
      </c>
      <c r="G5" s="48">
        <v>0.3</v>
      </c>
      <c r="H5" s="42" t="s">
        <v>39</v>
      </c>
      <c r="I5" s="44">
        <v>2020</v>
      </c>
    </row>
    <row r="6" spans="2:9" x14ac:dyDescent="0.35">
      <c r="B6" s="41" t="s">
        <v>43</v>
      </c>
      <c r="C6" s="39">
        <v>70000</v>
      </c>
      <c r="D6" s="39">
        <v>65000</v>
      </c>
      <c r="E6" s="38" t="s">
        <v>3</v>
      </c>
      <c r="F6" s="39">
        <v>3800</v>
      </c>
      <c r="G6" s="48">
        <v>0.3</v>
      </c>
      <c r="H6" s="42" t="s">
        <v>39</v>
      </c>
      <c r="I6" s="44"/>
    </row>
    <row r="7" spans="2:9" x14ac:dyDescent="0.35">
      <c r="B7" s="41" t="s">
        <v>38</v>
      </c>
      <c r="C7" s="39">
        <v>68000</v>
      </c>
      <c r="D7" s="39">
        <v>30000</v>
      </c>
      <c r="E7" s="38" t="s">
        <v>3</v>
      </c>
      <c r="F7" s="39">
        <v>1900</v>
      </c>
      <c r="G7" s="48">
        <v>0.19</v>
      </c>
      <c r="H7" s="42" t="s">
        <v>39</v>
      </c>
      <c r="I7" s="55">
        <v>43070</v>
      </c>
    </row>
    <row r="8" spans="2:9" x14ac:dyDescent="0.35">
      <c r="B8" s="41" t="s">
        <v>37</v>
      </c>
      <c r="C8" s="39">
        <v>150000</v>
      </c>
      <c r="D8" s="39">
        <v>29000</v>
      </c>
      <c r="E8" s="38" t="s">
        <v>3</v>
      </c>
      <c r="F8" s="39">
        <v>1500</v>
      </c>
      <c r="G8" s="48">
        <v>0.18</v>
      </c>
      <c r="H8" s="42" t="s">
        <v>12</v>
      </c>
      <c r="I8" s="55">
        <v>43070</v>
      </c>
    </row>
    <row r="9" spans="2:9" x14ac:dyDescent="0.35">
      <c r="B9" s="41" t="s">
        <v>40</v>
      </c>
      <c r="C9" s="39">
        <v>145000</v>
      </c>
      <c r="D9" s="39">
        <v>140000</v>
      </c>
      <c r="E9" s="38" t="s">
        <v>3</v>
      </c>
      <c r="F9" s="39">
        <v>4000</v>
      </c>
      <c r="G9" s="48">
        <v>0.18</v>
      </c>
      <c r="H9" s="42" t="s">
        <v>39</v>
      </c>
      <c r="I9" s="44">
        <v>2019</v>
      </c>
    </row>
    <row r="10" spans="2:9" x14ac:dyDescent="0.35">
      <c r="B10" s="41" t="s">
        <v>44</v>
      </c>
      <c r="C10" s="39">
        <v>100000</v>
      </c>
      <c r="D10" s="39">
        <v>90000</v>
      </c>
      <c r="E10" s="38" t="s">
        <v>3</v>
      </c>
      <c r="F10" s="39">
        <v>3000</v>
      </c>
      <c r="G10" s="48">
        <v>0</v>
      </c>
      <c r="H10" s="42"/>
      <c r="I10" s="44"/>
    </row>
    <row r="11" spans="2:9" x14ac:dyDescent="0.35">
      <c r="B11" s="41"/>
      <c r="C11" s="39"/>
      <c r="D11" s="39"/>
      <c r="E11" s="38"/>
      <c r="F11" s="39"/>
      <c r="G11" s="48"/>
      <c r="H11" s="42"/>
      <c r="I11" s="44"/>
    </row>
    <row r="12" spans="2:9" ht="15" thickBot="1" x14ac:dyDescent="0.4">
      <c r="B12" s="49" t="s">
        <v>8</v>
      </c>
      <c r="C12" s="50"/>
      <c r="D12" s="50">
        <v>613000</v>
      </c>
      <c r="E12" s="51"/>
      <c r="F12" s="50"/>
      <c r="G12" s="52"/>
      <c r="H12" s="53"/>
      <c r="I12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2"/>
  <sheetViews>
    <sheetView workbookViewId="0">
      <selection activeCell="K8" sqref="K8"/>
    </sheetView>
  </sheetViews>
  <sheetFormatPr defaultRowHeight="14.5" x14ac:dyDescent="0.35"/>
  <cols>
    <col min="2" max="2" width="24" customWidth="1"/>
    <col min="3" max="3" width="13.1796875" customWidth="1"/>
    <col min="4" max="4" width="15.81640625" customWidth="1"/>
    <col min="5" max="5" width="10.36328125" style="1" customWidth="1"/>
    <col min="6" max="6" width="13.6328125" customWidth="1"/>
    <col min="7" max="7" width="11.81640625" customWidth="1"/>
    <col min="8" max="8" width="12.08984375" style="1" customWidth="1"/>
    <col min="9" max="9" width="16.6328125" customWidth="1"/>
  </cols>
  <sheetData>
    <row r="2" spans="2:9" ht="15" thickBot="1" x14ac:dyDescent="0.4"/>
    <row r="3" spans="2:9" ht="30.5" customHeight="1" thickBot="1" x14ac:dyDescent="0.4">
      <c r="B3" s="2" t="s">
        <v>4</v>
      </c>
      <c r="C3" s="3" t="s">
        <v>9</v>
      </c>
      <c r="D3" s="3" t="s">
        <v>10</v>
      </c>
      <c r="E3" s="4" t="s">
        <v>2</v>
      </c>
      <c r="F3" s="4" t="s">
        <v>5</v>
      </c>
      <c r="G3" s="5" t="s">
        <v>6</v>
      </c>
      <c r="H3" s="5" t="s">
        <v>11</v>
      </c>
      <c r="I3" s="5" t="s">
        <v>7</v>
      </c>
    </row>
    <row r="4" spans="2:9" x14ac:dyDescent="0.35">
      <c r="B4" s="43"/>
      <c r="C4" s="45"/>
      <c r="D4" s="45"/>
      <c r="E4" s="40"/>
      <c r="F4" s="45"/>
      <c r="G4" s="47"/>
      <c r="H4" s="46"/>
      <c r="I4" s="6"/>
    </row>
    <row r="5" spans="2:9" x14ac:dyDescent="0.35">
      <c r="B5" s="41"/>
      <c r="C5" s="39"/>
      <c r="D5" s="39"/>
      <c r="E5" s="38"/>
      <c r="F5" s="39"/>
      <c r="G5" s="48"/>
      <c r="H5" s="42"/>
      <c r="I5" s="44"/>
    </row>
    <row r="6" spans="2:9" x14ac:dyDescent="0.35">
      <c r="B6" s="41"/>
      <c r="C6" s="39"/>
      <c r="D6" s="39"/>
      <c r="E6" s="38"/>
      <c r="F6" s="39"/>
      <c r="G6" s="48"/>
      <c r="H6" s="42"/>
      <c r="I6" s="44"/>
    </row>
    <row r="7" spans="2:9" x14ac:dyDescent="0.35">
      <c r="B7" s="41"/>
      <c r="C7" s="39"/>
      <c r="D7" s="39"/>
      <c r="E7" s="38"/>
      <c r="F7" s="39"/>
      <c r="G7" s="48"/>
      <c r="H7" s="42"/>
      <c r="I7" s="55"/>
    </row>
    <row r="8" spans="2:9" x14ac:dyDescent="0.35">
      <c r="B8" s="41"/>
      <c r="C8" s="39"/>
      <c r="D8" s="39"/>
      <c r="E8" s="38"/>
      <c r="F8" s="39"/>
      <c r="G8" s="48"/>
      <c r="H8" s="42"/>
      <c r="I8" s="55"/>
    </row>
    <row r="9" spans="2:9" x14ac:dyDescent="0.35">
      <c r="B9" s="41"/>
      <c r="C9" s="39"/>
      <c r="D9" s="39"/>
      <c r="E9" s="38"/>
      <c r="F9" s="39"/>
      <c r="G9" s="48"/>
      <c r="H9" s="42"/>
      <c r="I9" s="44"/>
    </row>
    <row r="10" spans="2:9" x14ac:dyDescent="0.35">
      <c r="B10" s="41"/>
      <c r="C10" s="39"/>
      <c r="D10" s="39"/>
      <c r="E10" s="38"/>
      <c r="F10" s="39"/>
      <c r="G10" s="48"/>
      <c r="H10" s="42"/>
      <c r="I10" s="44"/>
    </row>
    <row r="11" spans="2:9" x14ac:dyDescent="0.35">
      <c r="B11" s="41"/>
      <c r="C11" s="39"/>
      <c r="D11" s="39"/>
      <c r="E11" s="38"/>
      <c r="F11" s="39"/>
      <c r="G11" s="48"/>
      <c r="H11" s="42"/>
      <c r="I11" s="44"/>
    </row>
    <row r="12" spans="2:9" ht="15" thickBot="1" x14ac:dyDescent="0.4">
      <c r="B12" s="49" t="s">
        <v>8</v>
      </c>
      <c r="C12" s="50"/>
      <c r="D12" s="50">
        <v>613000</v>
      </c>
      <c r="E12" s="51"/>
      <c r="F12" s="50"/>
      <c r="G12" s="52"/>
      <c r="H12" s="53"/>
      <c r="I12" s="54"/>
    </row>
  </sheetData>
  <sortState xmlns:xlrd2="http://schemas.microsoft.com/office/spreadsheetml/2017/richdata2" ref="B4:I10">
    <sortCondition descending="1" ref="G4:G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A3BD-CB77-4DD6-804A-ED8E6DA67CA2}">
  <dimension ref="A1:AG135"/>
  <sheetViews>
    <sheetView zoomScale="70" zoomScaleNormal="70" workbookViewId="0">
      <selection activeCell="B134" sqref="B134:AG135"/>
    </sheetView>
  </sheetViews>
  <sheetFormatPr defaultColWidth="8.81640625" defaultRowHeight="14.5" x14ac:dyDescent="0.35"/>
  <cols>
    <col min="1" max="1" width="7.1796875" style="57" customWidth="1"/>
    <col min="2" max="2" width="14.90625" style="56" customWidth="1"/>
    <col min="3" max="3" width="14.90625" style="58" customWidth="1"/>
    <col min="4" max="4" width="14.90625" style="56" customWidth="1"/>
    <col min="5" max="5" width="14.90625" style="58" customWidth="1"/>
    <col min="6" max="6" width="14.90625" style="56" customWidth="1"/>
    <col min="7" max="7" width="14.90625" style="58" customWidth="1"/>
    <col min="8" max="8" width="14.90625" style="56" customWidth="1"/>
    <col min="9" max="9" width="14.90625" style="58" customWidth="1"/>
    <col min="10" max="10" width="14.90625" style="56" customWidth="1"/>
    <col min="11" max="11" width="14.90625" style="58" customWidth="1"/>
    <col min="12" max="12" width="14.90625" style="56" customWidth="1"/>
    <col min="13" max="13" width="14.90625" style="58" customWidth="1"/>
    <col min="14" max="33" width="14.90625" style="56" customWidth="1"/>
    <col min="34" max="16384" width="8.81640625" style="56"/>
  </cols>
  <sheetData>
    <row r="1" spans="1:33" s="78" customFormat="1" ht="18.5" customHeight="1" thickBot="1" x14ac:dyDescent="0.4">
      <c r="A1" s="77"/>
      <c r="C1" s="79"/>
      <c r="E1" s="79"/>
      <c r="G1" s="79"/>
      <c r="I1" s="79"/>
      <c r="K1" s="79"/>
      <c r="M1" s="79"/>
    </row>
    <row r="2" spans="1:33" ht="18" customHeight="1" x14ac:dyDescent="0.35">
      <c r="B2" s="103" t="s">
        <v>55</v>
      </c>
      <c r="C2" s="103"/>
      <c r="D2" s="103"/>
      <c r="F2" s="97"/>
      <c r="G2" s="95" t="s">
        <v>61</v>
      </c>
      <c r="H2" s="98">
        <v>5000</v>
      </c>
      <c r="I2" s="59"/>
      <c r="J2" s="60"/>
      <c r="M2" s="61"/>
    </row>
    <row r="3" spans="1:33" ht="16" thickBot="1" x14ac:dyDescent="0.4">
      <c r="B3" s="103"/>
      <c r="C3" s="103"/>
      <c r="D3" s="103"/>
      <c r="F3" s="99"/>
      <c r="G3" s="96" t="s">
        <v>45</v>
      </c>
      <c r="H3" s="100">
        <v>10000</v>
      </c>
      <c r="I3" s="62"/>
      <c r="J3" s="63"/>
    </row>
    <row r="5" spans="1:33" ht="18.5" x14ac:dyDescent="0.35">
      <c r="B5" s="64" t="s">
        <v>46</v>
      </c>
      <c r="M5" s="65" t="s">
        <v>47</v>
      </c>
    </row>
    <row r="6" spans="1:33" ht="15" thickBot="1" x14ac:dyDescent="0.4"/>
    <row r="7" spans="1:33" ht="15.5" x14ac:dyDescent="0.35">
      <c r="B7" s="66" t="s">
        <v>37</v>
      </c>
      <c r="C7" s="67"/>
      <c r="D7" s="68" t="s">
        <v>52</v>
      </c>
      <c r="E7" s="67"/>
      <c r="F7" s="68" t="s">
        <v>43</v>
      </c>
      <c r="G7" s="69"/>
      <c r="H7" s="68" t="s">
        <v>53</v>
      </c>
      <c r="I7" s="69"/>
      <c r="J7" s="68" t="s">
        <v>41</v>
      </c>
      <c r="K7" s="69"/>
      <c r="L7" s="68" t="s">
        <v>40</v>
      </c>
      <c r="M7" s="70"/>
      <c r="N7" s="68" t="s">
        <v>42</v>
      </c>
      <c r="O7" s="71"/>
      <c r="P7" s="68" t="s">
        <v>54</v>
      </c>
      <c r="Q7" s="71"/>
      <c r="R7" s="68" t="s">
        <v>54</v>
      </c>
      <c r="S7" s="71"/>
      <c r="T7" s="68" t="s">
        <v>54</v>
      </c>
      <c r="U7" s="71"/>
      <c r="V7" s="68" t="s">
        <v>54</v>
      </c>
      <c r="W7" s="71"/>
      <c r="X7" s="68" t="s">
        <v>48</v>
      </c>
      <c r="Y7" s="71"/>
      <c r="Z7" s="68" t="s">
        <v>54</v>
      </c>
      <c r="AA7" s="71"/>
      <c r="AB7" s="68" t="s">
        <v>54</v>
      </c>
      <c r="AC7" s="71"/>
      <c r="AD7" s="68" t="s">
        <v>54</v>
      </c>
      <c r="AE7" s="71"/>
      <c r="AF7" s="68" t="s">
        <v>54</v>
      </c>
      <c r="AG7" s="72"/>
    </row>
    <row r="8" spans="1:33" ht="15.5" x14ac:dyDescent="0.35">
      <c r="B8" s="87" t="s">
        <v>49</v>
      </c>
      <c r="C8" s="88">
        <v>29000</v>
      </c>
      <c r="D8" s="87" t="s">
        <v>49</v>
      </c>
      <c r="E8" s="88">
        <v>30000</v>
      </c>
      <c r="F8" s="87" t="s">
        <v>49</v>
      </c>
      <c r="G8" s="88">
        <v>65000</v>
      </c>
      <c r="H8" s="87" t="s">
        <v>49</v>
      </c>
      <c r="I8" s="88">
        <v>90000</v>
      </c>
      <c r="J8" s="87" t="s">
        <v>49</v>
      </c>
      <c r="K8" s="88">
        <v>98000</v>
      </c>
      <c r="L8" s="87" t="s">
        <v>49</v>
      </c>
      <c r="M8" s="89">
        <v>140000</v>
      </c>
      <c r="N8" s="87" t="s">
        <v>49</v>
      </c>
      <c r="O8" s="88">
        <v>161000</v>
      </c>
      <c r="P8" s="87" t="s">
        <v>49</v>
      </c>
      <c r="Q8" s="88">
        <v>0</v>
      </c>
      <c r="R8" s="87" t="s">
        <v>49</v>
      </c>
      <c r="S8" s="88">
        <v>0</v>
      </c>
      <c r="T8" s="87" t="s">
        <v>49</v>
      </c>
      <c r="U8" s="88">
        <v>0</v>
      </c>
      <c r="V8" s="87" t="s">
        <v>49</v>
      </c>
      <c r="W8" s="88">
        <v>0</v>
      </c>
      <c r="X8" s="87" t="s">
        <v>49</v>
      </c>
      <c r="Y8" s="88">
        <v>0</v>
      </c>
      <c r="Z8" s="87" t="s">
        <v>49</v>
      </c>
      <c r="AA8" s="88">
        <v>0</v>
      </c>
      <c r="AB8" s="87" t="s">
        <v>49</v>
      </c>
      <c r="AC8" s="88">
        <v>0</v>
      </c>
      <c r="AD8" s="87" t="s">
        <v>49</v>
      </c>
      <c r="AE8" s="88">
        <v>0</v>
      </c>
      <c r="AF8" s="87" t="s">
        <v>49</v>
      </c>
      <c r="AG8" s="90">
        <v>0</v>
      </c>
    </row>
    <row r="9" spans="1:33" ht="15.5" x14ac:dyDescent="0.35">
      <c r="B9" s="87" t="s">
        <v>50</v>
      </c>
      <c r="C9" s="88">
        <v>1500</v>
      </c>
      <c r="D9" s="87" t="s">
        <v>50</v>
      </c>
      <c r="E9" s="88">
        <v>1900</v>
      </c>
      <c r="F9" s="87" t="s">
        <v>50</v>
      </c>
      <c r="G9" s="88">
        <v>3800</v>
      </c>
      <c r="H9" s="87" t="s">
        <v>50</v>
      </c>
      <c r="I9" s="88">
        <v>3000</v>
      </c>
      <c r="J9" s="87" t="s">
        <v>50</v>
      </c>
      <c r="K9" s="88">
        <v>7500</v>
      </c>
      <c r="L9" s="87" t="s">
        <v>50</v>
      </c>
      <c r="M9" s="89">
        <v>4000</v>
      </c>
      <c r="N9" s="87" t="s">
        <v>50</v>
      </c>
      <c r="O9" s="88">
        <v>8500</v>
      </c>
      <c r="P9" s="87" t="s">
        <v>50</v>
      </c>
      <c r="Q9" s="88">
        <v>0</v>
      </c>
      <c r="R9" s="87" t="s">
        <v>50</v>
      </c>
      <c r="S9" s="88">
        <v>0</v>
      </c>
      <c r="T9" s="87" t="s">
        <v>50</v>
      </c>
      <c r="U9" s="88">
        <v>0</v>
      </c>
      <c r="V9" s="87" t="s">
        <v>50</v>
      </c>
      <c r="W9" s="88">
        <v>0</v>
      </c>
      <c r="X9" s="87" t="s">
        <v>50</v>
      </c>
      <c r="Y9" s="88">
        <v>0</v>
      </c>
      <c r="Z9" s="87" t="s">
        <v>50</v>
      </c>
      <c r="AA9" s="88">
        <v>0</v>
      </c>
      <c r="AB9" s="87" t="s">
        <v>50</v>
      </c>
      <c r="AC9" s="88">
        <v>0</v>
      </c>
      <c r="AD9" s="87" t="s">
        <v>50</v>
      </c>
      <c r="AE9" s="88">
        <v>0</v>
      </c>
      <c r="AF9" s="87" t="s">
        <v>50</v>
      </c>
      <c r="AG9" s="90">
        <v>0</v>
      </c>
    </row>
    <row r="10" spans="1:33" ht="16" thickBot="1" x14ac:dyDescent="0.4">
      <c r="B10" s="91" t="s">
        <v>51</v>
      </c>
      <c r="C10" s="92">
        <v>0.18</v>
      </c>
      <c r="D10" s="91" t="s">
        <v>51</v>
      </c>
      <c r="E10" s="92">
        <v>0.19</v>
      </c>
      <c r="F10" s="91" t="s">
        <v>51</v>
      </c>
      <c r="G10" s="92">
        <v>0.3</v>
      </c>
      <c r="H10" s="91" t="s">
        <v>51</v>
      </c>
      <c r="I10" s="92">
        <v>0</v>
      </c>
      <c r="J10" s="91" t="s">
        <v>51</v>
      </c>
      <c r="K10" s="92">
        <v>0.3</v>
      </c>
      <c r="L10" s="91" t="s">
        <v>51</v>
      </c>
      <c r="M10" s="93">
        <v>0.18</v>
      </c>
      <c r="N10" s="91" t="s">
        <v>51</v>
      </c>
      <c r="O10" s="92">
        <v>0.38</v>
      </c>
      <c r="P10" s="91" t="s">
        <v>51</v>
      </c>
      <c r="Q10" s="92">
        <v>0</v>
      </c>
      <c r="R10" s="91" t="s">
        <v>51</v>
      </c>
      <c r="S10" s="92">
        <v>0</v>
      </c>
      <c r="T10" s="91" t="s">
        <v>51</v>
      </c>
      <c r="U10" s="92">
        <v>0</v>
      </c>
      <c r="V10" s="91" t="s">
        <v>51</v>
      </c>
      <c r="W10" s="92">
        <v>0</v>
      </c>
      <c r="X10" s="91" t="s">
        <v>51</v>
      </c>
      <c r="Y10" s="92">
        <v>0</v>
      </c>
      <c r="Z10" s="91" t="s">
        <v>51</v>
      </c>
      <c r="AA10" s="92">
        <v>0</v>
      </c>
      <c r="AB10" s="91" t="s">
        <v>51</v>
      </c>
      <c r="AC10" s="92">
        <v>0</v>
      </c>
      <c r="AD10" s="91" t="s">
        <v>51</v>
      </c>
      <c r="AE10" s="92">
        <v>0</v>
      </c>
      <c r="AF10" s="91" t="s">
        <v>51</v>
      </c>
      <c r="AG10" s="94">
        <v>0</v>
      </c>
    </row>
    <row r="11" spans="1:33" x14ac:dyDescent="0.35">
      <c r="B11" s="73"/>
      <c r="C11" s="74"/>
      <c r="D11" s="73"/>
      <c r="E11" s="74"/>
      <c r="F11" s="73"/>
      <c r="G11" s="74"/>
      <c r="H11" s="73"/>
      <c r="I11" s="74"/>
      <c r="J11" s="73"/>
      <c r="K11" s="74"/>
      <c r="L11" s="73"/>
      <c r="M11" s="74"/>
      <c r="N11" s="73"/>
      <c r="O11" s="74"/>
      <c r="P11" s="73"/>
      <c r="Q11" s="74"/>
      <c r="R11" s="73"/>
      <c r="S11" s="74"/>
      <c r="T11" s="73"/>
      <c r="U11" s="74"/>
      <c r="V11" s="73"/>
      <c r="W11" s="74"/>
      <c r="X11" s="73"/>
      <c r="Y11" s="74"/>
      <c r="Z11" s="73"/>
      <c r="AA11" s="74"/>
      <c r="AB11" s="73"/>
      <c r="AC11" s="74"/>
      <c r="AD11" s="73"/>
      <c r="AE11" s="74"/>
      <c r="AF11" s="73"/>
      <c r="AG11" s="74"/>
    </row>
    <row r="12" spans="1:33" s="86" customFormat="1" ht="21" customHeight="1" x14ac:dyDescent="0.35">
      <c r="A12" s="84" t="s">
        <v>56</v>
      </c>
      <c r="B12" s="84" t="s">
        <v>57</v>
      </c>
      <c r="C12" s="85" t="s">
        <v>58</v>
      </c>
      <c r="D12" s="84" t="s">
        <v>57</v>
      </c>
      <c r="E12" s="85" t="s">
        <v>58</v>
      </c>
      <c r="F12" s="84" t="s">
        <v>57</v>
      </c>
      <c r="G12" s="85" t="s">
        <v>58</v>
      </c>
      <c r="H12" s="84" t="s">
        <v>57</v>
      </c>
      <c r="I12" s="85" t="s">
        <v>58</v>
      </c>
      <c r="J12" s="84" t="s">
        <v>57</v>
      </c>
      <c r="K12" s="85" t="s">
        <v>58</v>
      </c>
      <c r="L12" s="84" t="s">
        <v>57</v>
      </c>
      <c r="M12" s="85" t="s">
        <v>58</v>
      </c>
      <c r="N12" s="84" t="s">
        <v>57</v>
      </c>
      <c r="O12" s="85" t="s">
        <v>58</v>
      </c>
      <c r="P12" s="84" t="s">
        <v>57</v>
      </c>
      <c r="Q12" s="85" t="s">
        <v>58</v>
      </c>
      <c r="R12" s="84" t="s">
        <v>57</v>
      </c>
      <c r="S12" s="85" t="s">
        <v>58</v>
      </c>
      <c r="T12" s="84" t="s">
        <v>57</v>
      </c>
      <c r="U12" s="85" t="s">
        <v>58</v>
      </c>
      <c r="V12" s="84" t="s">
        <v>57</v>
      </c>
      <c r="W12" s="85" t="s">
        <v>58</v>
      </c>
      <c r="X12" s="84" t="s">
        <v>57</v>
      </c>
      <c r="Y12" s="85" t="s">
        <v>58</v>
      </c>
      <c r="Z12" s="84" t="s">
        <v>57</v>
      </c>
      <c r="AA12" s="85" t="s">
        <v>58</v>
      </c>
      <c r="AB12" s="84" t="s">
        <v>57</v>
      </c>
      <c r="AC12" s="85" t="s">
        <v>58</v>
      </c>
      <c r="AD12" s="84" t="s">
        <v>57</v>
      </c>
      <c r="AE12" s="85" t="s">
        <v>58</v>
      </c>
      <c r="AF12" s="84" t="s">
        <v>57</v>
      </c>
      <c r="AG12" s="85" t="s">
        <v>58</v>
      </c>
    </row>
    <row r="13" spans="1:33" ht="15.5" x14ac:dyDescent="0.35">
      <c r="A13" s="57">
        <v>1</v>
      </c>
      <c r="B13" s="80">
        <f>IF((H3+H2)&gt;=C8,C8,(H2+H3+C9))</f>
        <v>16500</v>
      </c>
      <c r="C13" s="81">
        <f>IF(C8-B13&lt;0,0,(C8-B13))</f>
        <v>12500</v>
      </c>
      <c r="D13" s="81">
        <f>IF((H2+H3)&gt;=(C8+E8),E8,IF(AND(B13=C8,B13&lt;&gt;0),(H2+H3-C8+E9),E9))</f>
        <v>1900</v>
      </c>
      <c r="E13" s="81">
        <f>E8-D13</f>
        <v>28100</v>
      </c>
      <c r="F13" s="81">
        <f>IF((H2+H3)&gt;=(E8+G8+C8),G8,IF(AND(D13=E8, D13&lt;&gt;0),(H2+H3-E8-C8+G9),G9))</f>
        <v>3800</v>
      </c>
      <c r="G13" s="81">
        <f>G8-F13</f>
        <v>61200</v>
      </c>
      <c r="H13" s="81">
        <f>IF((H2+H3)&gt;=(G8+I8+E8+C8),I8,IF(AND(F13=G8, F13&lt;&gt;0),(H2+H3-G8-E8-C8+I9),I9))</f>
        <v>3000</v>
      </c>
      <c r="I13" s="81">
        <f>I8-H13</f>
        <v>87000</v>
      </c>
      <c r="J13" s="81">
        <f>IF((H2+H3)&gt;=(I8+K8+G8+E8+C8),K8,IF(AND(H13=I8,H13&lt;&gt;0),(H2+H3-I8-G8-E8-C8+K9),K9))</f>
        <v>7500</v>
      </c>
      <c r="K13" s="81">
        <f>K8-J13</f>
        <v>90500</v>
      </c>
      <c r="L13" s="81">
        <f>IF((H2+H3)&gt;=(K8+M8+I8+G8+E8+C8),M8,IF(AND(J13=K8,J13&lt;&gt;0),(H2+H3-K8-I8-G8-E8-C8+M9),M9))</f>
        <v>4000</v>
      </c>
      <c r="M13" s="81">
        <f>M8-L13</f>
        <v>136000</v>
      </c>
      <c r="N13" s="81">
        <f>IF(($H$2+$H$3)&gt;=(M8+O8+K8+I8+G8+E8+C8),O8,IF(AND(L13=M$8,L13&lt;&gt;0),($H$2+$H$3-M8-K8-I8-G8-E8-C8+O9),O9))</f>
        <v>8500</v>
      </c>
      <c r="O13" s="81">
        <f>O8-N13</f>
        <v>152500</v>
      </c>
      <c r="P13" s="81">
        <f>IF(($H$2+$H$3)&gt;=(O8+Q8+M8+K8+I8+G8+E8+C8),Q8,IF(AND(N13=O$8,N13&lt;&gt;0),($H$2+$H$3-O8-M8-K8-I8-G8-E8-C8+Q9),Q9))</f>
        <v>0</v>
      </c>
      <c r="Q13" s="81">
        <f>Q8-P13</f>
        <v>0</v>
      </c>
      <c r="R13" s="81">
        <f>IF(($H$2+$H$3)&gt;=(Q8+S8+O8+M8+K8+I8+G8+E8+C8),S8,IF(AND(P13=Q$8,P13&lt;&gt;0),($H$2+$H$3-Q8-O8-M8-K8-I8-G8-E8-C8+S9),S9))</f>
        <v>0</v>
      </c>
      <c r="S13" s="81">
        <f>S8-R13</f>
        <v>0</v>
      </c>
      <c r="T13" s="81">
        <f>IF(($H$2+$H$3)&gt;=(S8+U8+Q8+O8+M8+K8+I8+G8+E8+C8),U8,IF(AND(R13=S$8,R13&lt;&gt;0),($H$2+$H$3-S8-Q8-O8-M8-K8-I8-G8-E8-C8+U9),U9))</f>
        <v>0</v>
      </c>
      <c r="U13" s="81">
        <f>U8-T13</f>
        <v>0</v>
      </c>
      <c r="V13" s="81">
        <f>IF(($H$2+$H$3)&gt;=(U8+W8+S8+Q8+O8+M8+K8+I8+G8+E8+C8),W8,IF(AND(T13=U$8,T13&lt;&gt;0),($H$2+$H$3-U8-S8-Q8-O8-M8-K8-I8-G8-E8-C8+W9),W9))</f>
        <v>0</v>
      </c>
      <c r="W13" s="81">
        <f>W8-V13</f>
        <v>0</v>
      </c>
      <c r="X13" s="81">
        <f>IF(($H$2+$H$3)&gt;=(W8+Y8+U8+S8+Q8+O8+M8+K8+I8+G8+E8+C8),Y8,IF(AND(V13=W$8,V13&lt;&gt;0),($H$2+$H$3-W8-U8-S8-Q8-O8-M8-K8-I8-G8-E8-C8+Y9),Y9))</f>
        <v>0</v>
      </c>
      <c r="Y13" s="81">
        <f>Y8-X13</f>
        <v>0</v>
      </c>
      <c r="Z13" s="81">
        <f>IF(($H$2+$H$3)&gt;=(Y8+AA8+W8+U8+S8+Q8+O8+M8+K8+I8+G8+E8+C8),AA8,IF(AND(X13=Y$8,X13&lt;&gt;0),($H$2+$H$3-Y8-W8-U8-S8-Q8-O8-M8-K8-I8-G8-E8-C8+AA9),AA9))</f>
        <v>0</v>
      </c>
      <c r="AA13" s="81">
        <f>AA8-Z13</f>
        <v>0</v>
      </c>
      <c r="AB13" s="81">
        <f>IF(($H$2+$H$3)&gt;=(AA8+AC8+Y8+W8+U8+S8+Q8+O8+M8+K8+I8+G8+E8+C8),AC8,IF(AND(Z13=AA$8,Z13&lt;&gt;0),($H$2+$H$3-AA8-Y8-W8-U8-S8-Q8-O8-M8-K8-I8-G8-E8-C8+AC9),AC9))</f>
        <v>0</v>
      </c>
      <c r="AC13" s="81">
        <f>AC8-AB13</f>
        <v>0</v>
      </c>
      <c r="AD13" s="81">
        <f>IF(($H$2+$H$3)&gt;=(AC8+AE8+AA8+Y8+W8+U8+S8+Q8+O8+M8+K8+I8+G8+E8+C8),AE8,IF(AND(AB13=AC$8,AB13&lt;&gt;0),($H$2+$H$3-AC8-AA8-Y8-W8-U8-S8-Q8-O8-M8-K8-I8-G8-E8-C8+AE9),AE9))</f>
        <v>0</v>
      </c>
      <c r="AE13" s="81">
        <f>AE8-AD13</f>
        <v>0</v>
      </c>
      <c r="AF13" s="81">
        <f>IF(($H$2+$H$3)&gt;=(AE8+AG8+AC8+AA8+Y8+W8+U8+S8+Q8+O8+M8+K8+I8+G8+E8+C8),AG8,IF(AND(AD13=AE$8,AD13&lt;&gt;0),($H$2+$H$3-AE8-AC8-AA8-Y8-W8-U8-S8-Q8-O8-M8-K8-I8-G8-E8-C8+AG9),AG9))</f>
        <v>0</v>
      </c>
      <c r="AG13" s="81">
        <f>AG8-AF13</f>
        <v>0</v>
      </c>
    </row>
    <row r="14" spans="1:33" ht="15.5" x14ac:dyDescent="0.35">
      <c r="A14" s="57">
        <v>2</v>
      </c>
      <c r="B14" s="80">
        <f>IF((C13-$H$2-$C$9)&lt;=0,($H$2+(C13-$H$2)),($H$2+$C$9))</f>
        <v>6500</v>
      </c>
      <c r="C14" s="81">
        <f>IF((C13-B14)&lt;=0.0001,0,(C13-B14)*(1+(C$10/12)))</f>
        <v>6089.9999999999991</v>
      </c>
      <c r="D14" s="81">
        <f>IF(AND(((E13-$H$2+B14-E$9-C$9)&lt;=0),C14=0),E13,IF((E13-$E$9-$H$2)&lt;=0,E13,IF(C14=0,$H$2-B14+E$9+C$9,E$9)))</f>
        <v>1900</v>
      </c>
      <c r="E14" s="81">
        <f t="shared" ref="E14:E77" si="0">IF((E13-D14)&lt;=0.0001,0,(E13-D14)*(1+(E$10/12)))</f>
        <v>26614.833333333336</v>
      </c>
      <c r="F14" s="81">
        <f>IF(AND(((G13-$H$2+D14-G$9-E$9-C$9)&lt;=0),E14=0),G13, IF((G13-$G$9-$H$2)&lt;=0,G13,IF(E14=0,$H$2-D14+G$9+E$9+C$9,G$9)))</f>
        <v>3800</v>
      </c>
      <c r="G14" s="81">
        <f t="shared" ref="G14:G77" si="1">IF((G13-F14)&lt;=0.0001,0,(G13-F14)*(1+(G$10/12)))</f>
        <v>58834.999999999993</v>
      </c>
      <c r="H14" s="81">
        <f>IF(AND(((I13-$H$2+F14-I$9-G$9-E$9-C$9)&lt;=0),G14=0),I13, IF((I13-$I$9-$H$2)&lt;=0,I13,IF(G14=0,$H$2-F14+I$9+G$9+E$9+C$9,I$9)))</f>
        <v>3000</v>
      </c>
      <c r="I14" s="81">
        <f t="shared" ref="I14:I77" si="2">IF((I13-H14)&lt;=0.0001,0,(I13-H14)*(1+(I$10/12)))</f>
        <v>84000</v>
      </c>
      <c r="J14" s="81">
        <f>IF(AND(((K13-$H$2+H14+F14+D14+B14-K$9-I$9-G$9-E$9-C$9)&lt;=0),I14+G14+E14+C14=0),K13, IF(AND((K13-K$9-$H$2)&lt;=0, I14=0),K13,IF(K$9&gt;=K13, K13, IF(AND(I14=0,G14=0,E14=0,C14=0), $H$2-H14-F14-D14-B14+K$9+I$9+G$9+E$9+C$9,K$9))))</f>
        <v>7500</v>
      </c>
      <c r="K14" s="81">
        <f t="shared" ref="K14:K77" si="3">IF((K13-J14)&lt;=0.0001,0,(K13-J14)*(1+(K$10/12)))</f>
        <v>85074.999999999985</v>
      </c>
      <c r="L14" s="81">
        <f>IF(AND(((M13-$H$2+J14+H14+F14+D14-M$9-K$9-I$9-G$9-E$9-C$9)&lt;=0),K14+I14+G14+E14=0),M13, IF(AND((M13-M$9-$H$2)&lt;=0, K14=0),M13,IF(M$9&gt;=M13, M13, IF(AND(K14=0,I14=0,G14=0,E14=0), $H$2-J14-H14-F14-D14+M$9+K$9+I$9+G$9+E$9+C$9,M$9))))</f>
        <v>4000</v>
      </c>
      <c r="M14" s="81">
        <f t="shared" ref="M14:M77" si="4">IF((M13-L14)&lt;=0.0001,0,(M13-L14)*(1+(M$10/12)))</f>
        <v>133980</v>
      </c>
      <c r="N14" s="81">
        <f>IF(AND(((O13-$H$2+L14+J14+H14+F14-O$9-M$9-K$9-I$9-G$9-E$9-C$9)&lt;=0),M14+K14+I14+G14=0),O13, IF(AND((O13-O$9-$H$2)&lt;=0, M14=0),O13,IF(O$9&gt;=O13, O13, IF(AND(M14=0,K14=0,I14=0,G14=0), $H$2-L14-J14-H14-F14+O$9+M$9+K$9+I$9+G$9+E$9+C$9,O$9))))</f>
        <v>8500</v>
      </c>
      <c r="O14" s="81">
        <f t="shared" ref="O14:O77" si="5">IF((O13-N14)&lt;=0.0001,0,(O13-N14)*(1+(O$10/12)))</f>
        <v>148560</v>
      </c>
      <c r="P14" s="81">
        <f>IF(AND(((Q13-$H$2+N14+L14+J14+H14-Q$9-O$9-M$9-K$9-I$9-G$9-E$9-C$9)&lt;=0),O14+M14+K14+I14=0),Q13, IF(AND((Q13-Q$9-$H$2)&lt;=0, O14=0),Q13,IF(Q$9&gt;=Q13, Q13, IF(AND(O14=0,M14=0,K14=0,I14=0), $H$2-N14-L14-J14-H14+Q$9+O$9+M$9+K$9+I$9+G$9+E$9+C$9,Q$9))))</f>
        <v>0</v>
      </c>
      <c r="Q14" s="81">
        <f t="shared" ref="Q14:Q77" si="6">IF((Q13-P14)&lt;=0.0001,0,(Q13-P14)*(1+(Q$10/12)))</f>
        <v>0</v>
      </c>
      <c r="R14" s="81">
        <f>IF(AND(((S13-$H$2+P14+N14+L14+J14-S$9-Q$9-O$9-M$9-K$9-I$9-G$9-E$9-C$9)&lt;=0),Q14+O14+M14+K14=0),S13, IF(AND((S13-S$9-$H$2)&lt;=0, Q14=0),S13,IF(S$9&gt;=S13, S13, IF(AND(Q14=0,O14=0,M14=0,K14=0), $H$2-P14-N14-L14-J14+S$9+Q$9+O$9+M$9+K$9+I$9+G$9+E$9+C$9,S$9))))</f>
        <v>0</v>
      </c>
      <c r="S14" s="81">
        <f t="shared" ref="S14:S77" si="7">IF((S13-R14)&lt;=0.0001,0,(S13-R14)*(1+(S$10/12)))</f>
        <v>0</v>
      </c>
      <c r="T14" s="81">
        <f>IF(AND(((U13-$H$2+R14+P14+N14+L14-U$9-S$9-Q$9-O$9-M$9-K$9-I$9-G$9-E$9-C$9)&lt;=0),S14+Q14+O14+M14=0),U13, IF(AND((U13-U$9-$H$2)&lt;=0, S14=0),U13,IF(U$9&gt;=U13, U13, IF(AND(S14=0,Q14=0,O14=0,M14=0), $H$2-R14-P14-N14-L14+U$9+S$9+Q$9+O$9+M$9+K$9+I$9+G$9+E$9+C$9,U$9))))</f>
        <v>0</v>
      </c>
      <c r="U14" s="81">
        <f t="shared" ref="U14:U77" si="8">IF((U13-T14)&lt;=0.0001,0,(U13-T14)*(1+(U$10/12)))</f>
        <v>0</v>
      </c>
      <c r="V14" s="81">
        <f>IF(AND(((W13-$H$2+T14+R14+P14+N14-W$9-U$9-S$9-Q$9-O$9-M$9-K$9-I$9-G$9-E$9-C$9)&lt;=0),U14+S14+Q14+O14=0),W13, IF(AND((W13-W$9-$H$2)&lt;=0, U14=0),W13,IF(W$9&gt;=W13, W13, IF(AND(U14=0,S14=0,Q14=0,O14=0), $H$2-T14-R14-P14-N14+W$9+U$9+S$9+Q$9+O$9+M$9+K$9+I$9+G$9+E$9+C$9,W$9))))</f>
        <v>0</v>
      </c>
      <c r="W14" s="81">
        <f t="shared" ref="W14:W77" si="9">IF((W13-V14)&lt;=0.0001,0,(W13-V14)*(1+(W$10/12)))</f>
        <v>0</v>
      </c>
      <c r="X14" s="81">
        <f>IF(AND(((Y13-$H$2+V14+T14+R14+P14-Y$9-W$9-U$9-S$9-Q$9-O$9-M$9-K$9-I$9-G$9-E$9-C$9)&lt;=0),W14+U14+S14+Q14=0),Y13, IF(AND((Y13-Y$9-$H$2)&lt;=0, W14=0),Y13,IF(Y$9&gt;=Y13, Y13, IF(AND(W14=0,U14=0,S14=0,Q14=0), $H$2-V14-T14-R14-P14+Y$9+W$9+U$9+S$9+Q$9+O$9+M$9+K$9+I$9+G$9+E$9+C$9,Y$9))))</f>
        <v>0</v>
      </c>
      <c r="Y14" s="81">
        <f t="shared" ref="Y14:Y77" si="10">IF((Y13-X14)&lt;=0.0001,0,(Y13-X14)*(1+(Y$10/12)))</f>
        <v>0</v>
      </c>
      <c r="Z14" s="81">
        <f t="shared" ref="Z14:Z34" si="11">IF(AND(((AA13-$H$2+X14+V14+T14+R14-AA$9-Y$9-W$9-U$9-S$9-Q$9-O$9-M$9-K$9-I$9-G$9-E$9-C$9)&lt;=0),Y14+W14+U14+S14=0),AA13, IF(AND((AA13-AA$9-$H$2)&lt;=0, Y14=0),AA13,IF(AA$9&gt;=AA13, AA13, IF(AND(Y14=0,W14=0,U14=0,S14=0), $H$2-X14-V14-T14-R14+AA$9+Y$9+W$9+U$9+S$9+Q$9+O$9+M$9+K$9+I$9+G$9+E$9+C$9,AA$9))))</f>
        <v>0</v>
      </c>
      <c r="AA14" s="81">
        <f t="shared" ref="AA14:AA77" si="12">IF((AA13-Z14)&lt;=0.0001,0,(AA13-Z14)*(1+(AA$10/12)))</f>
        <v>0</v>
      </c>
      <c r="AB14" s="81">
        <f t="shared" ref="AB14:AB28" si="13">IF(AND(((AC13-$H$2+Z14+X14+V14+T14-AC$9-AA$9-Y$9-W$9-U$9-S$9-Q$9-O$9-M$9-K$9-I$9-G$9-E$9-C$9)&lt;=0),AA14+Y14+W14+U14=0),AC13, IF(AND((AC13-AC$9-$H$2)&lt;=0, AA14=0),AC13,IF(AC$9&gt;=AC13, AC13, IF(AND(AA14=0,Y14=0,W14=0,U14=0), $H$2-Z14-X14-V14-T14+AC$9+AA$9+Y$9+W$9+U$9+S$9+Q$9+O$9+M$9+K$9+I$9+G$9+E$9+C$9,AC$9))))</f>
        <v>0</v>
      </c>
      <c r="AC14" s="81">
        <f t="shared" ref="AC14:AC77" si="14">IF((AC13-AB14)&lt;=0.0001,0,(AC13-AB14)*(1+(AC$10/12)))</f>
        <v>0</v>
      </c>
      <c r="AD14" s="81">
        <f>IF(AND(((AE13-$H$2+AB14-AE$9-AC$9-AA$9-Y$9-W$9-U$9-S$9-Q$9-O$9-M$9-K$9-I$9-G$9-E$9-C$9)&lt;=0),AC14=0),AE13, IF((AE13-AE$9-$H$2)&lt;=0,AE13,IF(AC14=0,$H$2-AB14+AE$9+AC$9+AA$9+Y$9+W$9+U$9+S$9+Q$9+O$9+M$9+K$9+I$9+G$9+E$9+C$9,AE$9)))</f>
        <v>0</v>
      </c>
      <c r="AE14" s="81">
        <f t="shared" ref="AE14:AE77" si="15">IF((AE13-AD14)&lt;=0.0001,0,(AE13-AD14)*(1+(AE$10/12)))</f>
        <v>0</v>
      </c>
      <c r="AF14" s="81">
        <f>IF(AND(((AG13-$H$2+AD14-AG$9-AE$9-AC$9-AA$9-Y$9-W$9-U$9-S$9-Q$9-O$9-M$9-K$9-I$9-G$9-E$9-C$9)&lt;=0),AE14=0),AG13, IF((AG13-AG$9-$H$2)&lt;=0,AG13,IF(AE14=0,$H$2-AD14+AG$9+AE$9+AC$9+AA$9+Y$9+W$9+U$9+S$9+Q$9+O$9+M$9+K$9+I$9+G$9+E$9+C$9,AG$9)))</f>
        <v>0</v>
      </c>
      <c r="AG14" s="81">
        <f t="shared" ref="AG14:AG77" si="16">IF((AG13-AF14)&lt;=0.0001,0,(AG13-AF14)*(1+(AG$10/12)))</f>
        <v>0</v>
      </c>
    </row>
    <row r="15" spans="1:33" ht="15.5" x14ac:dyDescent="0.35">
      <c r="A15" s="57">
        <v>3</v>
      </c>
      <c r="B15" s="80">
        <f t="shared" ref="B15:B78" si="17">IF((C14-$H$2-$C$9)&lt;=0,($H$2+(C14-$H$2)),($H$2+$C$9))</f>
        <v>6089.9999999999991</v>
      </c>
      <c r="C15" s="81">
        <f t="shared" ref="C15:C78" si="18">IF((C14-B15)&lt;=0.0001,0,(C14-B15)*(1+(C$10/12)))</f>
        <v>0</v>
      </c>
      <c r="D15" s="81">
        <f t="shared" ref="D15:D78" si="19">IF(AND(((E14-$H$2+B15-E$9-C$9)&lt;=0),C15=0),E14,IF((E14-$E$9-$H$2)&lt;=0,E14,IF(C15=0,$H$2-B15+E$9+C$9,E$9)))</f>
        <v>2310.0000000000009</v>
      </c>
      <c r="E15" s="81">
        <f t="shared" si="0"/>
        <v>24689.659861111115</v>
      </c>
      <c r="F15" s="81">
        <f t="shared" ref="F15:F78" si="20">IF(AND(((G14-$H$2+D15-G$9-E$9-C$9)&lt;=0),E15=0),G14, IF((G14-$G$9-$H$2)&lt;=0,G14,IF(E15=0,$H$2-D15+G$9+E$9+C$9,G$9)))</f>
        <v>3800</v>
      </c>
      <c r="G15" s="81">
        <f t="shared" si="1"/>
        <v>56410.874999999985</v>
      </c>
      <c r="H15" s="81">
        <f t="shared" ref="H15:H78" si="21">IF(AND(((I14-$H$2+F15-I$9-G$9-E$9-C$9)&lt;=0),G15=0),I14, IF((I14-$I$9-$H$2)&lt;=0,I14,IF(G15=0,$H$2-F15+I$9+G$9+E$9+C$9,I$9)))</f>
        <v>3000</v>
      </c>
      <c r="I15" s="81">
        <f t="shared" si="2"/>
        <v>81000</v>
      </c>
      <c r="J15" s="81">
        <f t="shared" ref="J15:J78" si="22">IF(AND(((K14-$H$2+H15+F15+D15+B15-K$9-I$9-G$9-E$9-C$9)&lt;=0),I15+G15+E15+C15=0),K14, IF(AND((K14-K$9-$H$2)&lt;=0, I15=0),K14,IF(K$9&gt;=K14, K14, IF(AND(I15=0,G15=0,E15=0,C15=0), $H$2-H15-F15-D15-B15+K$9+I$9+G$9+E$9+C$9,K$9))))</f>
        <v>7500</v>
      </c>
      <c r="K15" s="81">
        <f t="shared" si="3"/>
        <v>79514.374999999985</v>
      </c>
      <c r="L15" s="81">
        <f t="shared" ref="L15:L78" si="23">IF(AND(((M14-$H$2+J15+H15+F15+D15-M$9-K$9-I$9-G$9-E$9-C$9)&lt;=0),K15+I15+G15+E15=0),M14, IF(AND((M14-M$9-$H$2)&lt;=0, K15=0),M14,IF(M$9&gt;=M14, M14, IF(AND(K15=0,I15=0,G15=0,E15=0), $H$2-J15-H15-F15-D15+M$9+K$9+I$9+G$9+E$9+C$9,M$9))))</f>
        <v>4000</v>
      </c>
      <c r="M15" s="81">
        <f t="shared" si="4"/>
        <v>131929.69999999998</v>
      </c>
      <c r="N15" s="81">
        <f t="shared" ref="N15:N78" si="24">IF(AND(((O14-$H$2+L15+J15+H15+F15-O$9-M$9-K$9-I$9-G$9-E$9-C$9)&lt;=0),M15+K15+I15+G15=0),O14, IF(AND((O14-O$9-$H$2)&lt;=0, M15=0),O14,IF(O$9&gt;=O14, O14, IF(AND(M15=0,K15=0,I15=0,G15=0), $H$2-L15-J15-H15-F15+O$9+M$9+K$9+I$9+G$9+E$9+C$9,O$9))))</f>
        <v>8500</v>
      </c>
      <c r="O15" s="81">
        <f t="shared" si="5"/>
        <v>144495.23333333334</v>
      </c>
      <c r="P15" s="81">
        <f t="shared" ref="P15:P78" si="25">IF(AND(((Q14-$H$2+N15+L15+J15+H15-Q$9-O$9-M$9-K$9-I$9-G$9-E$9-C$9)&lt;=0),O15+M15+K15+I15=0),Q14, IF(AND((Q14-Q$9-$H$2)&lt;=0, O15=0),Q14,IF(Q$9&gt;=Q14, Q14, IF(AND(O15=0,M15=0,K15=0,I15=0), $H$2-N15-L15-J15-H15+Q$9+O$9+M$9+K$9+I$9+G$9+E$9+C$9,Q$9))))</f>
        <v>0</v>
      </c>
      <c r="Q15" s="81">
        <f t="shared" si="6"/>
        <v>0</v>
      </c>
      <c r="R15" s="81">
        <f t="shared" ref="R15:R78" si="26">IF(AND(((S14-$H$2+P15+N15+L15+J15-S$9-Q$9-O$9-M$9-K$9-I$9-G$9-E$9-C$9)&lt;=0),Q15+O15+M15+K15=0),S14, IF(AND((S14-S$9-$H$2)&lt;=0, Q15=0),S14,IF(S$9&gt;=S14, S14, IF(AND(Q15=0,O15=0,M15=0,K15=0), $H$2-P15-N15-L15-J15+S$9+Q$9+O$9+M$9+K$9+I$9+G$9+E$9+C$9,S$9))))</f>
        <v>0</v>
      </c>
      <c r="S15" s="81">
        <f t="shared" si="7"/>
        <v>0</v>
      </c>
      <c r="T15" s="81">
        <f t="shared" ref="T15:T78" si="27">IF(AND(((U14-$H$2+R15+P15+N15+L15-U$9-S$9-Q$9-O$9-M$9-K$9-I$9-G$9-E$9-C$9)&lt;=0),S15+Q15+O15+M15=0),U14, IF(AND((U14-U$9-$H$2)&lt;=0, S15=0),U14,IF(U$9&gt;=U14, U14, IF(AND(S15=0,Q15=0,O15=0,M15=0), $H$2-R15-P15-N15-L15+U$9+S$9+Q$9+O$9+M$9+K$9+I$9+G$9+E$9+C$9,U$9))))</f>
        <v>0</v>
      </c>
      <c r="U15" s="81">
        <f t="shared" si="8"/>
        <v>0</v>
      </c>
      <c r="V15" s="81">
        <f t="shared" ref="V15:V78" si="28">IF(AND(((W14-$H$2+T15+R15+P15+N15-W$9-U$9-S$9-Q$9-O$9-M$9-K$9-I$9-G$9-E$9-C$9)&lt;=0),U15+S15+Q15+O15=0),W14, IF(AND((W14-W$9-$H$2)&lt;=0, U15=0),W14,IF(W$9&gt;=W14, W14, IF(AND(U15=0,S15=0,Q15=0,O15=0), $H$2-T15-R15-P15-N15+W$9+U$9+S$9+Q$9+O$9+M$9+K$9+I$9+G$9+E$9+C$9,W$9))))</f>
        <v>0</v>
      </c>
      <c r="W15" s="81">
        <f t="shared" si="9"/>
        <v>0</v>
      </c>
      <c r="X15" s="81">
        <f t="shared" ref="X15:X78" si="29">IF(AND(((Y14-$H$2+V15+T15+R15+P15-Y$9-W$9-U$9-S$9-Q$9-O$9-M$9-K$9-I$9-G$9-E$9-C$9)&lt;=0),W15+U15+S15+Q15=0),Y14, IF(AND((Y14-Y$9-$H$2)&lt;=0, W15=0),Y14,IF(Y$9&gt;=Y14, Y14, IF(AND(W15=0,U15=0,S15=0,Q15=0), $H$2-V15-T15-R15-P15+Y$9+W$9+U$9+S$9+Q$9+O$9+M$9+K$9+I$9+G$9+E$9+C$9,Y$9))))</f>
        <v>0</v>
      </c>
      <c r="Y15" s="81">
        <f t="shared" si="10"/>
        <v>0</v>
      </c>
      <c r="Z15" s="81">
        <f t="shared" si="11"/>
        <v>0</v>
      </c>
      <c r="AA15" s="81">
        <f t="shared" si="12"/>
        <v>0</v>
      </c>
      <c r="AB15" s="81">
        <f t="shared" si="13"/>
        <v>0</v>
      </c>
      <c r="AC15" s="81">
        <f t="shared" si="14"/>
        <v>0</v>
      </c>
      <c r="AD15" s="81">
        <f t="shared" ref="AD15:AD78" si="30">IF(AND(((AE14-$H$2+AB15-AE$9-AC$9-AA$9-Y$9-W$9-U$9-S$9-Q$9-O$9-M$9-K$9-I$9-G$9-E$9-C$9)&lt;=0),AC15=0),AE14, IF((AE14-AE$9-$H$2)&lt;=0,AE14,IF(AC15=0,$H$2-AB15+AE$9+AC$9+AA$9+Y$9+W$9+U$9+S$9+Q$9+O$9+M$9+K$9+I$9+G$9+E$9+C$9,AE$9)))</f>
        <v>0</v>
      </c>
      <c r="AE15" s="81">
        <f t="shared" si="15"/>
        <v>0</v>
      </c>
      <c r="AF15" s="81">
        <f t="shared" ref="AF15:AF78" si="31">IF(AND(((AG14-$H$2+AD15-AG$9-AE$9-AC$9-AA$9-Y$9-W$9-U$9-S$9-Q$9-O$9-M$9-K$9-I$9-G$9-E$9-C$9)&lt;=0),AE15=0),AG14, IF((AG14-AG$9-$H$2)&lt;=0,AG14,IF(AE15=0,$H$2-AD15+AG$9+AE$9+AC$9+AA$9+Y$9+W$9+U$9+S$9+Q$9+O$9+M$9+K$9+I$9+G$9+E$9+C$9,AG$9)))</f>
        <v>0</v>
      </c>
      <c r="AG15" s="81">
        <f t="shared" si="16"/>
        <v>0</v>
      </c>
    </row>
    <row r="16" spans="1:33" ht="15.5" x14ac:dyDescent="0.35">
      <c r="A16" s="57">
        <v>4</v>
      </c>
      <c r="B16" s="80">
        <f t="shared" si="17"/>
        <v>0</v>
      </c>
      <c r="C16" s="81">
        <f t="shared" si="18"/>
        <v>0</v>
      </c>
      <c r="D16" s="81">
        <f t="shared" si="19"/>
        <v>8400</v>
      </c>
      <c r="E16" s="81">
        <f t="shared" si="0"/>
        <v>16547.579475578706</v>
      </c>
      <c r="F16" s="81">
        <f t="shared" si="20"/>
        <v>3800</v>
      </c>
      <c r="G16" s="81">
        <f t="shared" si="1"/>
        <v>53926.146874999984</v>
      </c>
      <c r="H16" s="81">
        <f t="shared" si="21"/>
        <v>3000</v>
      </c>
      <c r="I16" s="81">
        <f t="shared" si="2"/>
        <v>78000</v>
      </c>
      <c r="J16" s="81">
        <f t="shared" si="22"/>
        <v>7500</v>
      </c>
      <c r="K16" s="81">
        <f t="shared" si="3"/>
        <v>73814.734374999985</v>
      </c>
      <c r="L16" s="81">
        <f t="shared" si="23"/>
        <v>4000</v>
      </c>
      <c r="M16" s="81">
        <f t="shared" si="4"/>
        <v>129848.64549999997</v>
      </c>
      <c r="N16" s="81">
        <f t="shared" si="24"/>
        <v>8500</v>
      </c>
      <c r="O16" s="81">
        <f t="shared" si="5"/>
        <v>140301.74905555556</v>
      </c>
      <c r="P16" s="81">
        <f t="shared" si="25"/>
        <v>0</v>
      </c>
      <c r="Q16" s="81">
        <f t="shared" si="6"/>
        <v>0</v>
      </c>
      <c r="R16" s="81">
        <f t="shared" si="26"/>
        <v>0</v>
      </c>
      <c r="S16" s="81">
        <f t="shared" si="7"/>
        <v>0</v>
      </c>
      <c r="T16" s="81">
        <f t="shared" si="27"/>
        <v>0</v>
      </c>
      <c r="U16" s="81">
        <f t="shared" si="8"/>
        <v>0</v>
      </c>
      <c r="V16" s="81">
        <f t="shared" si="28"/>
        <v>0</v>
      </c>
      <c r="W16" s="81">
        <f t="shared" si="9"/>
        <v>0</v>
      </c>
      <c r="X16" s="81">
        <f t="shared" si="29"/>
        <v>0</v>
      </c>
      <c r="Y16" s="81">
        <f t="shared" si="10"/>
        <v>0</v>
      </c>
      <c r="Z16" s="81">
        <f t="shared" si="11"/>
        <v>0</v>
      </c>
      <c r="AA16" s="81">
        <f t="shared" si="12"/>
        <v>0</v>
      </c>
      <c r="AB16" s="81">
        <f t="shared" si="13"/>
        <v>0</v>
      </c>
      <c r="AC16" s="81">
        <f t="shared" si="14"/>
        <v>0</v>
      </c>
      <c r="AD16" s="81">
        <f t="shared" si="30"/>
        <v>0</v>
      </c>
      <c r="AE16" s="81">
        <f t="shared" si="15"/>
        <v>0</v>
      </c>
      <c r="AF16" s="81">
        <f t="shared" si="31"/>
        <v>0</v>
      </c>
      <c r="AG16" s="81">
        <f t="shared" si="16"/>
        <v>0</v>
      </c>
    </row>
    <row r="17" spans="1:33" ht="15.5" x14ac:dyDescent="0.35">
      <c r="A17" s="57">
        <v>5</v>
      </c>
      <c r="B17" s="80">
        <f t="shared" si="17"/>
        <v>0</v>
      </c>
      <c r="C17" s="81">
        <f t="shared" si="18"/>
        <v>0</v>
      </c>
      <c r="D17" s="81">
        <f t="shared" si="19"/>
        <v>8400</v>
      </c>
      <c r="E17" s="81">
        <f t="shared" si="0"/>
        <v>8276.58281727537</v>
      </c>
      <c r="F17" s="81">
        <f t="shared" si="20"/>
        <v>3800</v>
      </c>
      <c r="G17" s="81">
        <f t="shared" si="1"/>
        <v>51379.300546874976</v>
      </c>
      <c r="H17" s="81">
        <f t="shared" si="21"/>
        <v>3000</v>
      </c>
      <c r="I17" s="81">
        <f t="shared" si="2"/>
        <v>75000</v>
      </c>
      <c r="J17" s="81">
        <f t="shared" si="22"/>
        <v>7500</v>
      </c>
      <c r="K17" s="81">
        <f t="shared" si="3"/>
        <v>67972.602734374974</v>
      </c>
      <c r="L17" s="81">
        <f t="shared" si="23"/>
        <v>4000</v>
      </c>
      <c r="M17" s="81">
        <f t="shared" si="4"/>
        <v>127736.37518249996</v>
      </c>
      <c r="N17" s="81">
        <f t="shared" si="24"/>
        <v>8500</v>
      </c>
      <c r="O17" s="81">
        <f t="shared" si="5"/>
        <v>135975.4711089815</v>
      </c>
      <c r="P17" s="81">
        <f t="shared" si="25"/>
        <v>0</v>
      </c>
      <c r="Q17" s="81">
        <f t="shared" si="6"/>
        <v>0</v>
      </c>
      <c r="R17" s="81">
        <f t="shared" si="26"/>
        <v>0</v>
      </c>
      <c r="S17" s="81">
        <f t="shared" si="7"/>
        <v>0</v>
      </c>
      <c r="T17" s="81">
        <f t="shared" si="27"/>
        <v>0</v>
      </c>
      <c r="U17" s="81">
        <f t="shared" si="8"/>
        <v>0</v>
      </c>
      <c r="V17" s="81">
        <f t="shared" si="28"/>
        <v>0</v>
      </c>
      <c r="W17" s="81">
        <f t="shared" si="9"/>
        <v>0</v>
      </c>
      <c r="X17" s="81">
        <f t="shared" si="29"/>
        <v>0</v>
      </c>
      <c r="Y17" s="81">
        <f t="shared" si="10"/>
        <v>0</v>
      </c>
      <c r="Z17" s="81">
        <f t="shared" si="11"/>
        <v>0</v>
      </c>
      <c r="AA17" s="81">
        <f t="shared" si="12"/>
        <v>0</v>
      </c>
      <c r="AB17" s="81">
        <f t="shared" si="13"/>
        <v>0</v>
      </c>
      <c r="AC17" s="81">
        <f t="shared" si="14"/>
        <v>0</v>
      </c>
      <c r="AD17" s="81">
        <f t="shared" si="30"/>
        <v>0</v>
      </c>
      <c r="AE17" s="81">
        <f t="shared" si="15"/>
        <v>0</v>
      </c>
      <c r="AF17" s="81">
        <f t="shared" si="31"/>
        <v>0</v>
      </c>
      <c r="AG17" s="81">
        <f t="shared" si="16"/>
        <v>0</v>
      </c>
    </row>
    <row r="18" spans="1:33" ht="15.5" x14ac:dyDescent="0.35">
      <c r="A18" s="57">
        <v>6</v>
      </c>
      <c r="B18" s="80">
        <f t="shared" si="17"/>
        <v>0</v>
      </c>
      <c r="C18" s="81">
        <f t="shared" si="18"/>
        <v>0</v>
      </c>
      <c r="D18" s="81">
        <f t="shared" si="19"/>
        <v>8276.58281727537</v>
      </c>
      <c r="E18" s="81">
        <f t="shared" si="0"/>
        <v>0</v>
      </c>
      <c r="F18" s="81">
        <f t="shared" si="20"/>
        <v>3923.41718272463</v>
      </c>
      <c r="G18" s="81">
        <f t="shared" si="1"/>
        <v>48642.280448254096</v>
      </c>
      <c r="H18" s="81">
        <f t="shared" si="21"/>
        <v>3000</v>
      </c>
      <c r="I18" s="81">
        <f t="shared" si="2"/>
        <v>72000</v>
      </c>
      <c r="J18" s="81">
        <f t="shared" si="22"/>
        <v>7500</v>
      </c>
      <c r="K18" s="81">
        <f t="shared" si="3"/>
        <v>61984.417802734344</v>
      </c>
      <c r="L18" s="81">
        <f t="shared" si="23"/>
        <v>4000</v>
      </c>
      <c r="M18" s="81">
        <f t="shared" si="4"/>
        <v>125592.42081023745</v>
      </c>
      <c r="N18" s="81">
        <f t="shared" si="24"/>
        <v>8500</v>
      </c>
      <c r="O18" s="81">
        <f t="shared" si="5"/>
        <v>131512.19436076592</v>
      </c>
      <c r="P18" s="81">
        <f t="shared" si="25"/>
        <v>0</v>
      </c>
      <c r="Q18" s="81">
        <f t="shared" si="6"/>
        <v>0</v>
      </c>
      <c r="R18" s="81">
        <f t="shared" si="26"/>
        <v>0</v>
      </c>
      <c r="S18" s="81">
        <f t="shared" si="7"/>
        <v>0</v>
      </c>
      <c r="T18" s="81">
        <f t="shared" si="27"/>
        <v>0</v>
      </c>
      <c r="U18" s="81">
        <f t="shared" si="8"/>
        <v>0</v>
      </c>
      <c r="V18" s="81">
        <f t="shared" si="28"/>
        <v>0</v>
      </c>
      <c r="W18" s="81">
        <f t="shared" si="9"/>
        <v>0</v>
      </c>
      <c r="X18" s="81">
        <f t="shared" si="29"/>
        <v>0</v>
      </c>
      <c r="Y18" s="81">
        <f t="shared" si="10"/>
        <v>0</v>
      </c>
      <c r="Z18" s="81">
        <f t="shared" si="11"/>
        <v>0</v>
      </c>
      <c r="AA18" s="81">
        <f t="shared" si="12"/>
        <v>0</v>
      </c>
      <c r="AB18" s="81">
        <f t="shared" si="13"/>
        <v>0</v>
      </c>
      <c r="AC18" s="81">
        <f t="shared" si="14"/>
        <v>0</v>
      </c>
      <c r="AD18" s="81">
        <f t="shared" si="30"/>
        <v>0</v>
      </c>
      <c r="AE18" s="81">
        <f t="shared" si="15"/>
        <v>0</v>
      </c>
      <c r="AF18" s="81">
        <f t="shared" si="31"/>
        <v>0</v>
      </c>
      <c r="AG18" s="81">
        <f t="shared" si="16"/>
        <v>0</v>
      </c>
    </row>
    <row r="19" spans="1:33" ht="15.5" x14ac:dyDescent="0.35">
      <c r="A19" s="57">
        <v>7</v>
      </c>
      <c r="B19" s="80">
        <f t="shared" si="17"/>
        <v>0</v>
      </c>
      <c r="C19" s="81">
        <f t="shared" si="18"/>
        <v>0</v>
      </c>
      <c r="D19" s="81">
        <f t="shared" si="19"/>
        <v>0</v>
      </c>
      <c r="E19" s="81">
        <f t="shared" si="0"/>
        <v>0</v>
      </c>
      <c r="F19" s="81">
        <f t="shared" si="20"/>
        <v>12200</v>
      </c>
      <c r="G19" s="81">
        <f t="shared" si="1"/>
        <v>37353.337459460447</v>
      </c>
      <c r="H19" s="81">
        <f t="shared" si="21"/>
        <v>3000</v>
      </c>
      <c r="I19" s="81">
        <f t="shared" si="2"/>
        <v>69000</v>
      </c>
      <c r="J19" s="81">
        <f t="shared" si="22"/>
        <v>7500</v>
      </c>
      <c r="K19" s="81">
        <f t="shared" si="3"/>
        <v>55846.5282478027</v>
      </c>
      <c r="L19" s="81">
        <f t="shared" si="23"/>
        <v>4000</v>
      </c>
      <c r="M19" s="81">
        <f t="shared" si="4"/>
        <v>123416.30712239101</v>
      </c>
      <c r="N19" s="81">
        <f t="shared" si="24"/>
        <v>8500</v>
      </c>
      <c r="O19" s="81">
        <f t="shared" si="5"/>
        <v>126907.58051552351</v>
      </c>
      <c r="P19" s="81">
        <f t="shared" si="25"/>
        <v>0</v>
      </c>
      <c r="Q19" s="81">
        <f t="shared" si="6"/>
        <v>0</v>
      </c>
      <c r="R19" s="81">
        <f t="shared" si="26"/>
        <v>0</v>
      </c>
      <c r="S19" s="81">
        <f t="shared" si="7"/>
        <v>0</v>
      </c>
      <c r="T19" s="81">
        <f t="shared" si="27"/>
        <v>0</v>
      </c>
      <c r="U19" s="81">
        <f t="shared" si="8"/>
        <v>0</v>
      </c>
      <c r="V19" s="81">
        <f t="shared" si="28"/>
        <v>0</v>
      </c>
      <c r="W19" s="81">
        <f t="shared" si="9"/>
        <v>0</v>
      </c>
      <c r="X19" s="81">
        <f t="shared" si="29"/>
        <v>0</v>
      </c>
      <c r="Y19" s="81">
        <f t="shared" si="10"/>
        <v>0</v>
      </c>
      <c r="Z19" s="81">
        <f t="shared" si="11"/>
        <v>0</v>
      </c>
      <c r="AA19" s="81">
        <f t="shared" si="12"/>
        <v>0</v>
      </c>
      <c r="AB19" s="81">
        <f t="shared" si="13"/>
        <v>0</v>
      </c>
      <c r="AC19" s="81">
        <f t="shared" si="14"/>
        <v>0</v>
      </c>
      <c r="AD19" s="81">
        <f t="shared" si="30"/>
        <v>0</v>
      </c>
      <c r="AE19" s="81">
        <f t="shared" si="15"/>
        <v>0</v>
      </c>
      <c r="AF19" s="81">
        <f t="shared" si="31"/>
        <v>0</v>
      </c>
      <c r="AG19" s="81">
        <f t="shared" si="16"/>
        <v>0</v>
      </c>
    </row>
    <row r="20" spans="1:33" ht="15.5" x14ac:dyDescent="0.35">
      <c r="A20" s="57">
        <v>8</v>
      </c>
      <c r="B20" s="80">
        <f t="shared" si="17"/>
        <v>0</v>
      </c>
      <c r="C20" s="81">
        <f t="shared" si="18"/>
        <v>0</v>
      </c>
      <c r="D20" s="81">
        <f t="shared" si="19"/>
        <v>0</v>
      </c>
      <c r="E20" s="81">
        <f t="shared" si="0"/>
        <v>0</v>
      </c>
      <c r="F20" s="81">
        <f t="shared" si="20"/>
        <v>12200</v>
      </c>
      <c r="G20" s="81">
        <f t="shared" si="1"/>
        <v>25782.170895946954</v>
      </c>
      <c r="H20" s="81">
        <f t="shared" si="21"/>
        <v>3000</v>
      </c>
      <c r="I20" s="81">
        <f t="shared" si="2"/>
        <v>66000</v>
      </c>
      <c r="J20" s="81">
        <f t="shared" si="22"/>
        <v>7500</v>
      </c>
      <c r="K20" s="81">
        <f t="shared" si="3"/>
        <v>49555.191453997766</v>
      </c>
      <c r="L20" s="81">
        <f t="shared" si="23"/>
        <v>4000</v>
      </c>
      <c r="M20" s="81">
        <f t="shared" si="4"/>
        <v>121207.55172922686</v>
      </c>
      <c r="N20" s="81">
        <f t="shared" si="24"/>
        <v>8500</v>
      </c>
      <c r="O20" s="81">
        <f t="shared" si="5"/>
        <v>122157.1538985151</v>
      </c>
      <c r="P20" s="81">
        <f t="shared" si="25"/>
        <v>0</v>
      </c>
      <c r="Q20" s="81">
        <f t="shared" si="6"/>
        <v>0</v>
      </c>
      <c r="R20" s="81">
        <f t="shared" si="26"/>
        <v>0</v>
      </c>
      <c r="S20" s="81">
        <f t="shared" si="7"/>
        <v>0</v>
      </c>
      <c r="T20" s="81">
        <f t="shared" si="27"/>
        <v>0</v>
      </c>
      <c r="U20" s="81">
        <f t="shared" si="8"/>
        <v>0</v>
      </c>
      <c r="V20" s="81">
        <f t="shared" si="28"/>
        <v>0</v>
      </c>
      <c r="W20" s="81">
        <f t="shared" si="9"/>
        <v>0</v>
      </c>
      <c r="X20" s="81">
        <f t="shared" si="29"/>
        <v>0</v>
      </c>
      <c r="Y20" s="81">
        <f t="shared" si="10"/>
        <v>0</v>
      </c>
      <c r="Z20" s="81">
        <f t="shared" si="11"/>
        <v>0</v>
      </c>
      <c r="AA20" s="81">
        <f t="shared" si="12"/>
        <v>0</v>
      </c>
      <c r="AB20" s="81">
        <f t="shared" si="13"/>
        <v>0</v>
      </c>
      <c r="AC20" s="81">
        <f t="shared" si="14"/>
        <v>0</v>
      </c>
      <c r="AD20" s="81">
        <f t="shared" si="30"/>
        <v>0</v>
      </c>
      <c r="AE20" s="81">
        <f t="shared" si="15"/>
        <v>0</v>
      </c>
      <c r="AF20" s="81">
        <f t="shared" si="31"/>
        <v>0</v>
      </c>
      <c r="AG20" s="81">
        <f t="shared" si="16"/>
        <v>0</v>
      </c>
    </row>
    <row r="21" spans="1:33" ht="15.5" x14ac:dyDescent="0.35">
      <c r="A21" s="57">
        <v>9</v>
      </c>
      <c r="B21" s="80">
        <f t="shared" si="17"/>
        <v>0</v>
      </c>
      <c r="C21" s="81">
        <f t="shared" si="18"/>
        <v>0</v>
      </c>
      <c r="D21" s="81">
        <f t="shared" si="19"/>
        <v>0</v>
      </c>
      <c r="E21" s="81">
        <f t="shared" si="0"/>
        <v>0</v>
      </c>
      <c r="F21" s="81">
        <f t="shared" si="20"/>
        <v>12200</v>
      </c>
      <c r="G21" s="81">
        <f t="shared" si="1"/>
        <v>13921.725168345627</v>
      </c>
      <c r="H21" s="81">
        <f t="shared" si="21"/>
        <v>3000</v>
      </c>
      <c r="I21" s="81">
        <f t="shared" si="2"/>
        <v>63000</v>
      </c>
      <c r="J21" s="81">
        <f t="shared" si="22"/>
        <v>7500</v>
      </c>
      <c r="K21" s="81">
        <f t="shared" si="3"/>
        <v>43106.571240347708</v>
      </c>
      <c r="L21" s="81">
        <f t="shared" si="23"/>
        <v>4000</v>
      </c>
      <c r="M21" s="81">
        <f t="shared" si="4"/>
        <v>118965.66500516525</v>
      </c>
      <c r="N21" s="81">
        <f t="shared" si="24"/>
        <v>8500</v>
      </c>
      <c r="O21" s="81">
        <f t="shared" si="5"/>
        <v>117256.29710530142</v>
      </c>
      <c r="P21" s="81">
        <f t="shared" si="25"/>
        <v>0</v>
      </c>
      <c r="Q21" s="81">
        <f t="shared" si="6"/>
        <v>0</v>
      </c>
      <c r="R21" s="81">
        <f t="shared" si="26"/>
        <v>0</v>
      </c>
      <c r="S21" s="81">
        <f t="shared" si="7"/>
        <v>0</v>
      </c>
      <c r="T21" s="81">
        <f t="shared" si="27"/>
        <v>0</v>
      </c>
      <c r="U21" s="81">
        <f t="shared" si="8"/>
        <v>0</v>
      </c>
      <c r="V21" s="81">
        <f t="shared" si="28"/>
        <v>0</v>
      </c>
      <c r="W21" s="81">
        <f t="shared" si="9"/>
        <v>0</v>
      </c>
      <c r="X21" s="81">
        <f t="shared" si="29"/>
        <v>0</v>
      </c>
      <c r="Y21" s="81">
        <f t="shared" si="10"/>
        <v>0</v>
      </c>
      <c r="Z21" s="81">
        <f t="shared" si="11"/>
        <v>0</v>
      </c>
      <c r="AA21" s="81">
        <f t="shared" si="12"/>
        <v>0</v>
      </c>
      <c r="AB21" s="81">
        <f t="shared" si="13"/>
        <v>0</v>
      </c>
      <c r="AC21" s="81">
        <f t="shared" si="14"/>
        <v>0</v>
      </c>
      <c r="AD21" s="81">
        <f t="shared" si="30"/>
        <v>0</v>
      </c>
      <c r="AE21" s="81">
        <f t="shared" si="15"/>
        <v>0</v>
      </c>
      <c r="AF21" s="81">
        <f t="shared" si="31"/>
        <v>0</v>
      </c>
      <c r="AG21" s="81">
        <f t="shared" si="16"/>
        <v>0</v>
      </c>
    </row>
    <row r="22" spans="1:33" ht="15.5" x14ac:dyDescent="0.35">
      <c r="A22" s="57">
        <v>10</v>
      </c>
      <c r="B22" s="80">
        <f t="shared" si="17"/>
        <v>0</v>
      </c>
      <c r="C22" s="81">
        <f t="shared" si="18"/>
        <v>0</v>
      </c>
      <c r="D22" s="81">
        <f t="shared" si="19"/>
        <v>0</v>
      </c>
      <c r="E22" s="81">
        <f t="shared" si="0"/>
        <v>0</v>
      </c>
      <c r="F22" s="81">
        <f t="shared" si="20"/>
        <v>12200</v>
      </c>
      <c r="G22" s="81">
        <f t="shared" si="1"/>
        <v>1764.7682975542675</v>
      </c>
      <c r="H22" s="81">
        <f t="shared" si="21"/>
        <v>3000</v>
      </c>
      <c r="I22" s="81">
        <f t="shared" si="2"/>
        <v>60000</v>
      </c>
      <c r="J22" s="81">
        <f t="shared" si="22"/>
        <v>7500</v>
      </c>
      <c r="K22" s="81">
        <f t="shared" si="3"/>
        <v>36496.735521356401</v>
      </c>
      <c r="L22" s="81">
        <f t="shared" si="23"/>
        <v>4000</v>
      </c>
      <c r="M22" s="81">
        <f t="shared" si="4"/>
        <v>116690.14998024273</v>
      </c>
      <c r="N22" s="81">
        <f t="shared" si="24"/>
        <v>8500</v>
      </c>
      <c r="O22" s="81">
        <f t="shared" si="5"/>
        <v>112200.24651363597</v>
      </c>
      <c r="P22" s="81">
        <f t="shared" si="25"/>
        <v>0</v>
      </c>
      <c r="Q22" s="81">
        <f t="shared" si="6"/>
        <v>0</v>
      </c>
      <c r="R22" s="81">
        <f t="shared" si="26"/>
        <v>0</v>
      </c>
      <c r="S22" s="81">
        <f t="shared" si="7"/>
        <v>0</v>
      </c>
      <c r="T22" s="81">
        <f t="shared" si="27"/>
        <v>0</v>
      </c>
      <c r="U22" s="81">
        <f t="shared" si="8"/>
        <v>0</v>
      </c>
      <c r="V22" s="81">
        <f t="shared" si="28"/>
        <v>0</v>
      </c>
      <c r="W22" s="81">
        <f t="shared" si="9"/>
        <v>0</v>
      </c>
      <c r="X22" s="81">
        <f t="shared" si="29"/>
        <v>0</v>
      </c>
      <c r="Y22" s="81">
        <f t="shared" si="10"/>
        <v>0</v>
      </c>
      <c r="Z22" s="81">
        <f t="shared" si="11"/>
        <v>0</v>
      </c>
      <c r="AA22" s="81">
        <f t="shared" si="12"/>
        <v>0</v>
      </c>
      <c r="AB22" s="81">
        <f t="shared" si="13"/>
        <v>0</v>
      </c>
      <c r="AC22" s="81">
        <f t="shared" si="14"/>
        <v>0</v>
      </c>
      <c r="AD22" s="81">
        <f t="shared" si="30"/>
        <v>0</v>
      </c>
      <c r="AE22" s="81">
        <f t="shared" si="15"/>
        <v>0</v>
      </c>
      <c r="AF22" s="81">
        <f t="shared" si="31"/>
        <v>0</v>
      </c>
      <c r="AG22" s="81">
        <f t="shared" si="16"/>
        <v>0</v>
      </c>
    </row>
    <row r="23" spans="1:33" ht="15.5" x14ac:dyDescent="0.35">
      <c r="A23" s="57">
        <v>11</v>
      </c>
      <c r="B23" s="80">
        <f t="shared" si="17"/>
        <v>0</v>
      </c>
      <c r="C23" s="81">
        <f t="shared" si="18"/>
        <v>0</v>
      </c>
      <c r="D23" s="81">
        <f t="shared" si="19"/>
        <v>0</v>
      </c>
      <c r="E23" s="81">
        <f t="shared" si="0"/>
        <v>0</v>
      </c>
      <c r="F23" s="81">
        <f t="shared" si="20"/>
        <v>1764.7682975542675</v>
      </c>
      <c r="G23" s="81">
        <f t="shared" si="1"/>
        <v>0</v>
      </c>
      <c r="H23" s="81">
        <f t="shared" si="21"/>
        <v>13435.231702445733</v>
      </c>
      <c r="I23" s="81">
        <f t="shared" si="2"/>
        <v>46564.76829755427</v>
      </c>
      <c r="J23" s="81">
        <f t="shared" si="22"/>
        <v>7500</v>
      </c>
      <c r="K23" s="81">
        <f t="shared" si="3"/>
        <v>29721.653909390308</v>
      </c>
      <c r="L23" s="81">
        <f t="shared" si="23"/>
        <v>4000</v>
      </c>
      <c r="M23" s="81">
        <f t="shared" si="4"/>
        <v>114380.50222994636</v>
      </c>
      <c r="N23" s="81">
        <f t="shared" si="24"/>
        <v>8500</v>
      </c>
      <c r="O23" s="81">
        <f t="shared" si="5"/>
        <v>106984.08765323444</v>
      </c>
      <c r="P23" s="81">
        <f t="shared" si="25"/>
        <v>0</v>
      </c>
      <c r="Q23" s="81">
        <f t="shared" si="6"/>
        <v>0</v>
      </c>
      <c r="R23" s="81">
        <f t="shared" si="26"/>
        <v>0</v>
      </c>
      <c r="S23" s="81">
        <f t="shared" si="7"/>
        <v>0</v>
      </c>
      <c r="T23" s="81">
        <f t="shared" si="27"/>
        <v>0</v>
      </c>
      <c r="U23" s="81">
        <f t="shared" si="8"/>
        <v>0</v>
      </c>
      <c r="V23" s="81">
        <f t="shared" si="28"/>
        <v>0</v>
      </c>
      <c r="W23" s="81">
        <f t="shared" si="9"/>
        <v>0</v>
      </c>
      <c r="X23" s="81">
        <f t="shared" si="29"/>
        <v>0</v>
      </c>
      <c r="Y23" s="81">
        <f t="shared" si="10"/>
        <v>0</v>
      </c>
      <c r="Z23" s="81">
        <f t="shared" si="11"/>
        <v>0</v>
      </c>
      <c r="AA23" s="81">
        <f t="shared" si="12"/>
        <v>0</v>
      </c>
      <c r="AB23" s="81">
        <f t="shared" si="13"/>
        <v>0</v>
      </c>
      <c r="AC23" s="81">
        <f t="shared" si="14"/>
        <v>0</v>
      </c>
      <c r="AD23" s="81">
        <f t="shared" si="30"/>
        <v>0</v>
      </c>
      <c r="AE23" s="81">
        <f t="shared" si="15"/>
        <v>0</v>
      </c>
      <c r="AF23" s="81">
        <f t="shared" si="31"/>
        <v>0</v>
      </c>
      <c r="AG23" s="81">
        <f t="shared" si="16"/>
        <v>0</v>
      </c>
    </row>
    <row r="24" spans="1:33" ht="15.5" x14ac:dyDescent="0.35">
      <c r="A24" s="57">
        <v>12</v>
      </c>
      <c r="B24" s="80">
        <f t="shared" si="17"/>
        <v>0</v>
      </c>
      <c r="C24" s="81">
        <f t="shared" si="18"/>
        <v>0</v>
      </c>
      <c r="D24" s="81">
        <f t="shared" si="19"/>
        <v>0</v>
      </c>
      <c r="E24" s="81">
        <f t="shared" si="0"/>
        <v>0</v>
      </c>
      <c r="F24" s="81">
        <f t="shared" si="20"/>
        <v>0</v>
      </c>
      <c r="G24" s="81">
        <f t="shared" si="1"/>
        <v>0</v>
      </c>
      <c r="H24" s="81">
        <f t="shared" si="21"/>
        <v>15200</v>
      </c>
      <c r="I24" s="81">
        <f t="shared" si="2"/>
        <v>31364.76829755427</v>
      </c>
      <c r="J24" s="81">
        <f t="shared" si="22"/>
        <v>7500</v>
      </c>
      <c r="K24" s="81">
        <f t="shared" si="3"/>
        <v>22777.195257125066</v>
      </c>
      <c r="L24" s="81">
        <f t="shared" si="23"/>
        <v>4000</v>
      </c>
      <c r="M24" s="81">
        <f t="shared" si="4"/>
        <v>112036.20976339554</v>
      </c>
      <c r="N24" s="81">
        <f t="shared" si="24"/>
        <v>8500</v>
      </c>
      <c r="O24" s="81">
        <f t="shared" si="5"/>
        <v>101602.7504289202</v>
      </c>
      <c r="P24" s="81">
        <f t="shared" si="25"/>
        <v>0</v>
      </c>
      <c r="Q24" s="81">
        <f t="shared" si="6"/>
        <v>0</v>
      </c>
      <c r="R24" s="81">
        <f t="shared" si="26"/>
        <v>0</v>
      </c>
      <c r="S24" s="81">
        <f t="shared" si="7"/>
        <v>0</v>
      </c>
      <c r="T24" s="81">
        <f t="shared" si="27"/>
        <v>0</v>
      </c>
      <c r="U24" s="81">
        <f t="shared" si="8"/>
        <v>0</v>
      </c>
      <c r="V24" s="81">
        <f t="shared" si="28"/>
        <v>0</v>
      </c>
      <c r="W24" s="81">
        <f t="shared" si="9"/>
        <v>0</v>
      </c>
      <c r="X24" s="81">
        <f t="shared" si="29"/>
        <v>0</v>
      </c>
      <c r="Y24" s="81">
        <f t="shared" si="10"/>
        <v>0</v>
      </c>
      <c r="Z24" s="81">
        <f t="shared" si="11"/>
        <v>0</v>
      </c>
      <c r="AA24" s="81">
        <f t="shared" si="12"/>
        <v>0</v>
      </c>
      <c r="AB24" s="81">
        <f t="shared" si="13"/>
        <v>0</v>
      </c>
      <c r="AC24" s="81">
        <f t="shared" si="14"/>
        <v>0</v>
      </c>
      <c r="AD24" s="81">
        <f t="shared" si="30"/>
        <v>0</v>
      </c>
      <c r="AE24" s="81">
        <f t="shared" si="15"/>
        <v>0</v>
      </c>
      <c r="AF24" s="81">
        <f t="shared" si="31"/>
        <v>0</v>
      </c>
      <c r="AG24" s="81">
        <f t="shared" si="16"/>
        <v>0</v>
      </c>
    </row>
    <row r="25" spans="1:33" ht="15.5" x14ac:dyDescent="0.35">
      <c r="A25" s="57">
        <v>13</v>
      </c>
      <c r="B25" s="80">
        <f t="shared" si="17"/>
        <v>0</v>
      </c>
      <c r="C25" s="81">
        <f t="shared" si="18"/>
        <v>0</v>
      </c>
      <c r="D25" s="81">
        <f t="shared" si="19"/>
        <v>0</v>
      </c>
      <c r="E25" s="81">
        <f t="shared" si="0"/>
        <v>0</v>
      </c>
      <c r="F25" s="81">
        <f t="shared" si="20"/>
        <v>0</v>
      </c>
      <c r="G25" s="81">
        <f t="shared" si="1"/>
        <v>0</v>
      </c>
      <c r="H25" s="81">
        <f t="shared" si="21"/>
        <v>15200</v>
      </c>
      <c r="I25" s="81">
        <f t="shared" si="2"/>
        <v>16164.76829755427</v>
      </c>
      <c r="J25" s="81">
        <f t="shared" si="22"/>
        <v>7500</v>
      </c>
      <c r="K25" s="81">
        <f t="shared" si="3"/>
        <v>15659.12513855319</v>
      </c>
      <c r="L25" s="81">
        <f t="shared" si="23"/>
        <v>4000</v>
      </c>
      <c r="M25" s="81">
        <f t="shared" si="4"/>
        <v>109656.75290984646</v>
      </c>
      <c r="N25" s="81">
        <f t="shared" si="24"/>
        <v>8500</v>
      </c>
      <c r="O25" s="81">
        <f t="shared" si="5"/>
        <v>96051.004192502689</v>
      </c>
      <c r="P25" s="81">
        <f t="shared" si="25"/>
        <v>0</v>
      </c>
      <c r="Q25" s="81">
        <f t="shared" si="6"/>
        <v>0</v>
      </c>
      <c r="R25" s="81">
        <f t="shared" si="26"/>
        <v>0</v>
      </c>
      <c r="S25" s="81">
        <f t="shared" si="7"/>
        <v>0</v>
      </c>
      <c r="T25" s="81">
        <f t="shared" si="27"/>
        <v>0</v>
      </c>
      <c r="U25" s="81">
        <f t="shared" si="8"/>
        <v>0</v>
      </c>
      <c r="V25" s="81">
        <f t="shared" si="28"/>
        <v>0</v>
      </c>
      <c r="W25" s="81">
        <f t="shared" si="9"/>
        <v>0</v>
      </c>
      <c r="X25" s="81">
        <f t="shared" si="29"/>
        <v>0</v>
      </c>
      <c r="Y25" s="81">
        <f t="shared" si="10"/>
        <v>0</v>
      </c>
      <c r="Z25" s="81">
        <f t="shared" si="11"/>
        <v>0</v>
      </c>
      <c r="AA25" s="81">
        <f t="shared" si="12"/>
        <v>0</v>
      </c>
      <c r="AB25" s="81">
        <f t="shared" si="13"/>
        <v>0</v>
      </c>
      <c r="AC25" s="81">
        <f t="shared" si="14"/>
        <v>0</v>
      </c>
      <c r="AD25" s="81">
        <f t="shared" si="30"/>
        <v>0</v>
      </c>
      <c r="AE25" s="81">
        <f t="shared" si="15"/>
        <v>0</v>
      </c>
      <c r="AF25" s="81">
        <f t="shared" si="31"/>
        <v>0</v>
      </c>
      <c r="AG25" s="81">
        <f t="shared" si="16"/>
        <v>0</v>
      </c>
    </row>
    <row r="26" spans="1:33" ht="15.5" x14ac:dyDescent="0.35">
      <c r="A26" s="57">
        <v>14</v>
      </c>
      <c r="B26" s="80">
        <f t="shared" si="17"/>
        <v>0</v>
      </c>
      <c r="C26" s="81">
        <f t="shared" si="18"/>
        <v>0</v>
      </c>
      <c r="D26" s="81">
        <f t="shared" si="19"/>
        <v>0</v>
      </c>
      <c r="E26" s="81">
        <f t="shared" si="0"/>
        <v>0</v>
      </c>
      <c r="F26" s="81">
        <f t="shared" si="20"/>
        <v>0</v>
      </c>
      <c r="G26" s="81">
        <f t="shared" si="1"/>
        <v>0</v>
      </c>
      <c r="H26" s="81">
        <f t="shared" si="21"/>
        <v>15200</v>
      </c>
      <c r="I26" s="81">
        <f t="shared" si="2"/>
        <v>964.76829755427025</v>
      </c>
      <c r="J26" s="81">
        <f t="shared" si="22"/>
        <v>7500</v>
      </c>
      <c r="K26" s="81">
        <f t="shared" si="3"/>
        <v>8363.1032670170189</v>
      </c>
      <c r="L26" s="81">
        <f t="shared" si="23"/>
        <v>4000</v>
      </c>
      <c r="M26" s="81">
        <f t="shared" si="4"/>
        <v>107241.60420349415</v>
      </c>
      <c r="N26" s="81">
        <f t="shared" si="24"/>
        <v>8500</v>
      </c>
      <c r="O26" s="81">
        <f t="shared" si="5"/>
        <v>90323.452658598617</v>
      </c>
      <c r="P26" s="81">
        <f t="shared" si="25"/>
        <v>0</v>
      </c>
      <c r="Q26" s="81">
        <f t="shared" si="6"/>
        <v>0</v>
      </c>
      <c r="R26" s="81">
        <f t="shared" si="26"/>
        <v>0</v>
      </c>
      <c r="S26" s="81">
        <f t="shared" si="7"/>
        <v>0</v>
      </c>
      <c r="T26" s="81">
        <f t="shared" si="27"/>
        <v>0</v>
      </c>
      <c r="U26" s="81">
        <f t="shared" si="8"/>
        <v>0</v>
      </c>
      <c r="V26" s="81">
        <f t="shared" si="28"/>
        <v>0</v>
      </c>
      <c r="W26" s="81">
        <f t="shared" si="9"/>
        <v>0</v>
      </c>
      <c r="X26" s="81">
        <f t="shared" si="29"/>
        <v>0</v>
      </c>
      <c r="Y26" s="81">
        <f t="shared" si="10"/>
        <v>0</v>
      </c>
      <c r="Z26" s="81">
        <f t="shared" si="11"/>
        <v>0</v>
      </c>
      <c r="AA26" s="81">
        <f t="shared" si="12"/>
        <v>0</v>
      </c>
      <c r="AB26" s="81">
        <f t="shared" si="13"/>
        <v>0</v>
      </c>
      <c r="AC26" s="81">
        <f t="shared" si="14"/>
        <v>0</v>
      </c>
      <c r="AD26" s="81">
        <f t="shared" si="30"/>
        <v>0</v>
      </c>
      <c r="AE26" s="81">
        <f t="shared" si="15"/>
        <v>0</v>
      </c>
      <c r="AF26" s="81">
        <f t="shared" si="31"/>
        <v>0</v>
      </c>
      <c r="AG26" s="81">
        <f t="shared" si="16"/>
        <v>0</v>
      </c>
    </row>
    <row r="27" spans="1:33" ht="15.5" x14ac:dyDescent="0.35">
      <c r="A27" s="57">
        <v>15</v>
      </c>
      <c r="B27" s="80">
        <f t="shared" si="17"/>
        <v>0</v>
      </c>
      <c r="C27" s="81">
        <f t="shared" si="18"/>
        <v>0</v>
      </c>
      <c r="D27" s="81">
        <f t="shared" si="19"/>
        <v>0</v>
      </c>
      <c r="E27" s="81">
        <f t="shared" si="0"/>
        <v>0</v>
      </c>
      <c r="F27" s="81">
        <f t="shared" si="20"/>
        <v>0</v>
      </c>
      <c r="G27" s="81">
        <f t="shared" si="1"/>
        <v>0</v>
      </c>
      <c r="H27" s="81">
        <f t="shared" si="21"/>
        <v>964.76829755427025</v>
      </c>
      <c r="I27" s="81">
        <f t="shared" si="2"/>
        <v>0</v>
      </c>
      <c r="J27" s="81">
        <f t="shared" si="22"/>
        <v>8363.1032670170189</v>
      </c>
      <c r="K27" s="81">
        <f t="shared" si="3"/>
        <v>0</v>
      </c>
      <c r="L27" s="81">
        <f t="shared" si="23"/>
        <v>17372.128435428713</v>
      </c>
      <c r="M27" s="81">
        <f t="shared" si="4"/>
        <v>91217.517904586406</v>
      </c>
      <c r="N27" s="81">
        <f t="shared" si="24"/>
        <v>8500</v>
      </c>
      <c r="O27" s="81">
        <f t="shared" si="5"/>
        <v>84414.528659454241</v>
      </c>
      <c r="P27" s="81">
        <f t="shared" si="25"/>
        <v>0</v>
      </c>
      <c r="Q27" s="81">
        <f t="shared" si="6"/>
        <v>0</v>
      </c>
      <c r="R27" s="81">
        <f t="shared" si="26"/>
        <v>0</v>
      </c>
      <c r="S27" s="81">
        <f t="shared" si="7"/>
        <v>0</v>
      </c>
      <c r="T27" s="81">
        <f t="shared" si="27"/>
        <v>0</v>
      </c>
      <c r="U27" s="81">
        <f t="shared" si="8"/>
        <v>0</v>
      </c>
      <c r="V27" s="81">
        <f t="shared" si="28"/>
        <v>0</v>
      </c>
      <c r="W27" s="81">
        <f t="shared" si="9"/>
        <v>0</v>
      </c>
      <c r="X27" s="81">
        <f t="shared" si="29"/>
        <v>0</v>
      </c>
      <c r="Y27" s="81">
        <f t="shared" si="10"/>
        <v>0</v>
      </c>
      <c r="Z27" s="81">
        <f t="shared" si="11"/>
        <v>0</v>
      </c>
      <c r="AA27" s="81">
        <f t="shared" si="12"/>
        <v>0</v>
      </c>
      <c r="AB27" s="81">
        <f t="shared" si="13"/>
        <v>0</v>
      </c>
      <c r="AC27" s="81">
        <f t="shared" si="14"/>
        <v>0</v>
      </c>
      <c r="AD27" s="81">
        <f t="shared" si="30"/>
        <v>0</v>
      </c>
      <c r="AE27" s="81">
        <f t="shared" si="15"/>
        <v>0</v>
      </c>
      <c r="AF27" s="81">
        <f t="shared" si="31"/>
        <v>0</v>
      </c>
      <c r="AG27" s="81">
        <f t="shared" si="16"/>
        <v>0</v>
      </c>
    </row>
    <row r="28" spans="1:33" s="76" customFormat="1" ht="15.5" x14ac:dyDescent="0.35">
      <c r="A28" s="75">
        <v>16</v>
      </c>
      <c r="B28" s="82">
        <f t="shared" si="17"/>
        <v>0</v>
      </c>
      <c r="C28" s="83">
        <f t="shared" si="18"/>
        <v>0</v>
      </c>
      <c r="D28" s="83">
        <f t="shared" si="19"/>
        <v>0</v>
      </c>
      <c r="E28" s="83">
        <f t="shared" si="0"/>
        <v>0</v>
      </c>
      <c r="F28" s="83">
        <f t="shared" si="20"/>
        <v>0</v>
      </c>
      <c r="G28" s="83">
        <f t="shared" si="1"/>
        <v>0</v>
      </c>
      <c r="H28" s="83">
        <f t="shared" si="21"/>
        <v>0</v>
      </c>
      <c r="I28" s="83">
        <f t="shared" si="2"/>
        <v>0</v>
      </c>
      <c r="J28" s="81">
        <f t="shared" si="22"/>
        <v>0</v>
      </c>
      <c r="K28" s="83">
        <f t="shared" si="3"/>
        <v>0</v>
      </c>
      <c r="L28" s="81">
        <f t="shared" si="23"/>
        <v>26700</v>
      </c>
      <c r="M28" s="83">
        <f t="shared" si="4"/>
        <v>65485.280673155197</v>
      </c>
      <c r="N28" s="81">
        <f t="shared" si="24"/>
        <v>8500</v>
      </c>
      <c r="O28" s="83">
        <f t="shared" si="5"/>
        <v>78318.488733670296</v>
      </c>
      <c r="P28" s="81">
        <f t="shared" si="25"/>
        <v>0</v>
      </c>
      <c r="Q28" s="83">
        <f t="shared" si="6"/>
        <v>0</v>
      </c>
      <c r="R28" s="81">
        <f t="shared" si="26"/>
        <v>0</v>
      </c>
      <c r="S28" s="83">
        <f t="shared" si="7"/>
        <v>0</v>
      </c>
      <c r="T28" s="81">
        <f t="shared" si="27"/>
        <v>0</v>
      </c>
      <c r="U28" s="83">
        <f t="shared" si="8"/>
        <v>0</v>
      </c>
      <c r="V28" s="81">
        <f t="shared" si="28"/>
        <v>0</v>
      </c>
      <c r="W28" s="83">
        <f t="shared" si="9"/>
        <v>0</v>
      </c>
      <c r="X28" s="81">
        <f t="shared" si="29"/>
        <v>0</v>
      </c>
      <c r="Y28" s="83">
        <f t="shared" si="10"/>
        <v>0</v>
      </c>
      <c r="Z28" s="83">
        <f t="shared" si="11"/>
        <v>0</v>
      </c>
      <c r="AA28" s="83">
        <f t="shared" si="12"/>
        <v>0</v>
      </c>
      <c r="AB28" s="83">
        <f t="shared" si="13"/>
        <v>0</v>
      </c>
      <c r="AC28" s="83">
        <f t="shared" si="14"/>
        <v>0</v>
      </c>
      <c r="AD28" s="83">
        <f t="shared" si="30"/>
        <v>0</v>
      </c>
      <c r="AE28" s="83">
        <f t="shared" si="15"/>
        <v>0</v>
      </c>
      <c r="AF28" s="83">
        <f t="shared" si="31"/>
        <v>0</v>
      </c>
      <c r="AG28" s="83">
        <f t="shared" si="16"/>
        <v>0</v>
      </c>
    </row>
    <row r="29" spans="1:33" ht="15.5" x14ac:dyDescent="0.35">
      <c r="A29" s="57">
        <v>17</v>
      </c>
      <c r="B29" s="80">
        <f t="shared" si="17"/>
        <v>0</v>
      </c>
      <c r="C29" s="81">
        <f t="shared" si="18"/>
        <v>0</v>
      </c>
      <c r="D29" s="81">
        <f t="shared" si="19"/>
        <v>0</v>
      </c>
      <c r="E29" s="81">
        <f t="shared" si="0"/>
        <v>0</v>
      </c>
      <c r="F29" s="81">
        <f t="shared" si="20"/>
        <v>0</v>
      </c>
      <c r="G29" s="81">
        <f t="shared" si="1"/>
        <v>0</v>
      </c>
      <c r="H29" s="81">
        <f t="shared" si="21"/>
        <v>0</v>
      </c>
      <c r="I29" s="81">
        <f t="shared" si="2"/>
        <v>0</v>
      </c>
      <c r="J29" s="81">
        <f t="shared" si="22"/>
        <v>0</v>
      </c>
      <c r="K29" s="81">
        <f t="shared" si="3"/>
        <v>0</v>
      </c>
      <c r="L29" s="81">
        <f t="shared" si="23"/>
        <v>26700</v>
      </c>
      <c r="M29" s="81">
        <f t="shared" si="4"/>
        <v>39367.059883252521</v>
      </c>
      <c r="N29" s="81">
        <f t="shared" si="24"/>
        <v>8500</v>
      </c>
      <c r="O29" s="81">
        <f t="shared" si="5"/>
        <v>72029.407543569861</v>
      </c>
      <c r="P29" s="81">
        <f t="shared" si="25"/>
        <v>0</v>
      </c>
      <c r="Q29" s="81">
        <f t="shared" si="6"/>
        <v>0</v>
      </c>
      <c r="R29" s="81">
        <f t="shared" si="26"/>
        <v>0</v>
      </c>
      <c r="S29" s="81">
        <f t="shared" si="7"/>
        <v>0</v>
      </c>
      <c r="T29" s="81">
        <f t="shared" si="27"/>
        <v>0</v>
      </c>
      <c r="U29" s="81">
        <f t="shared" si="8"/>
        <v>0</v>
      </c>
      <c r="V29" s="81">
        <f t="shared" si="28"/>
        <v>0</v>
      </c>
      <c r="W29" s="81">
        <f t="shared" si="9"/>
        <v>0</v>
      </c>
      <c r="X29" s="81">
        <f t="shared" si="29"/>
        <v>0</v>
      </c>
      <c r="Y29" s="81">
        <f t="shared" si="10"/>
        <v>0</v>
      </c>
      <c r="Z29" s="81">
        <f t="shared" si="11"/>
        <v>0</v>
      </c>
      <c r="AA29" s="81">
        <f t="shared" si="12"/>
        <v>0</v>
      </c>
      <c r="AB29" s="81">
        <f>IF(AND(((AC28-$H$2+Z29+X29+V29+T29-AC$9-AA$9-Y$9-W$9-U$9-S$9-Q$9-O$9-M$9-K$9-I$9-G$9-E$9-C$9)&lt;=0),AA29+Y29+W29+U29=0),AC28, IF(AND((AC28-AC$9-$H$2)&lt;=0, AA29=0),AC28,IF(AC$9&gt;=AC28, AC28, IF(AND(AA29=0,Y29=0,W29=0,U29=0), $H$2-Z29-X29-V29-T29+AC$9+AA$9+Y$9+W$9+U$9+S$9+Q$9+O$9+M$9+K$9+I$9+G$9+E$9+C$9,AC$9))))</f>
        <v>0</v>
      </c>
      <c r="AC29" s="81">
        <f t="shared" si="14"/>
        <v>0</v>
      </c>
      <c r="AD29" s="81">
        <f t="shared" si="30"/>
        <v>0</v>
      </c>
      <c r="AE29" s="81">
        <f t="shared" si="15"/>
        <v>0</v>
      </c>
      <c r="AF29" s="81">
        <f t="shared" si="31"/>
        <v>0</v>
      </c>
      <c r="AG29" s="81">
        <f t="shared" si="16"/>
        <v>0</v>
      </c>
    </row>
    <row r="30" spans="1:33" ht="15.5" x14ac:dyDescent="0.35">
      <c r="A30" s="57">
        <v>18</v>
      </c>
      <c r="B30" s="80">
        <f t="shared" si="17"/>
        <v>0</v>
      </c>
      <c r="C30" s="81">
        <f t="shared" si="18"/>
        <v>0</v>
      </c>
      <c r="D30" s="81">
        <f t="shared" si="19"/>
        <v>0</v>
      </c>
      <c r="E30" s="81">
        <f t="shared" si="0"/>
        <v>0</v>
      </c>
      <c r="F30" s="81">
        <f t="shared" si="20"/>
        <v>0</v>
      </c>
      <c r="G30" s="81">
        <f t="shared" si="1"/>
        <v>0</v>
      </c>
      <c r="H30" s="81">
        <f t="shared" si="21"/>
        <v>0</v>
      </c>
      <c r="I30" s="81">
        <f t="shared" si="2"/>
        <v>0</v>
      </c>
      <c r="J30" s="81">
        <f t="shared" si="22"/>
        <v>0</v>
      </c>
      <c r="K30" s="81">
        <f t="shared" si="3"/>
        <v>0</v>
      </c>
      <c r="L30" s="81">
        <f t="shared" si="23"/>
        <v>26700</v>
      </c>
      <c r="M30" s="81">
        <f t="shared" si="4"/>
        <v>12857.065781501307</v>
      </c>
      <c r="N30" s="81">
        <f t="shared" si="24"/>
        <v>8500</v>
      </c>
      <c r="O30" s="81">
        <f t="shared" si="5"/>
        <v>65541.172115782916</v>
      </c>
      <c r="P30" s="81">
        <f t="shared" si="25"/>
        <v>0</v>
      </c>
      <c r="Q30" s="81">
        <f t="shared" si="6"/>
        <v>0</v>
      </c>
      <c r="R30" s="81">
        <f t="shared" si="26"/>
        <v>0</v>
      </c>
      <c r="S30" s="81">
        <f t="shared" si="7"/>
        <v>0</v>
      </c>
      <c r="T30" s="81">
        <f t="shared" si="27"/>
        <v>0</v>
      </c>
      <c r="U30" s="81">
        <f t="shared" si="8"/>
        <v>0</v>
      </c>
      <c r="V30" s="81">
        <f t="shared" si="28"/>
        <v>0</v>
      </c>
      <c r="W30" s="81">
        <f t="shared" si="9"/>
        <v>0</v>
      </c>
      <c r="X30" s="81">
        <f t="shared" si="29"/>
        <v>0</v>
      </c>
      <c r="Y30" s="81">
        <f t="shared" si="10"/>
        <v>0</v>
      </c>
      <c r="Z30" s="81">
        <f t="shared" si="11"/>
        <v>0</v>
      </c>
      <c r="AA30" s="81">
        <f t="shared" si="12"/>
        <v>0</v>
      </c>
      <c r="AB30" s="81">
        <f t="shared" ref="AB30:AB93" si="32">IF(AND(((AC29-$H$2+Z30+X30+V30+T30-AC$9-AA$9-Y$9-W$9-U$9-S$9-Q$9-O$9-M$9-K$9-I$9-G$9-E$9-C$9)&lt;=0),AA30+Y30+W30+U30=0),AC29, IF(AND((AC29-AC$9-$H$2)&lt;=0, AA30=0),AC29,IF(AC$9&gt;=AC29, AC29, IF(AND(AA30=0,Y30=0,W30=0,U30=0), $H$2-Z30-X30-V30-T30+AC$9+AA$9+Y$9+W$9+U$9+S$9+Q$9+O$9+M$9+K$9+I$9+G$9+E$9+C$9,AC$9))))</f>
        <v>0</v>
      </c>
      <c r="AC30" s="81">
        <f t="shared" si="14"/>
        <v>0</v>
      </c>
      <c r="AD30" s="81">
        <f t="shared" si="30"/>
        <v>0</v>
      </c>
      <c r="AE30" s="81">
        <f t="shared" si="15"/>
        <v>0</v>
      </c>
      <c r="AF30" s="81">
        <f t="shared" si="31"/>
        <v>0</v>
      </c>
      <c r="AG30" s="81">
        <f t="shared" si="16"/>
        <v>0</v>
      </c>
    </row>
    <row r="31" spans="1:33" ht="15.5" x14ac:dyDescent="0.35">
      <c r="A31" s="57">
        <v>19</v>
      </c>
      <c r="B31" s="80">
        <f t="shared" si="17"/>
        <v>0</v>
      </c>
      <c r="C31" s="81">
        <f t="shared" si="18"/>
        <v>0</v>
      </c>
      <c r="D31" s="81">
        <f t="shared" si="19"/>
        <v>0</v>
      </c>
      <c r="E31" s="81">
        <f t="shared" si="0"/>
        <v>0</v>
      </c>
      <c r="F31" s="81">
        <f t="shared" si="20"/>
        <v>0</v>
      </c>
      <c r="G31" s="81">
        <f t="shared" si="1"/>
        <v>0</v>
      </c>
      <c r="H31" s="81">
        <f t="shared" si="21"/>
        <v>0</v>
      </c>
      <c r="I31" s="81">
        <f t="shared" si="2"/>
        <v>0</v>
      </c>
      <c r="J31" s="81">
        <f t="shared" si="22"/>
        <v>0</v>
      </c>
      <c r="K31" s="81">
        <f t="shared" si="3"/>
        <v>0</v>
      </c>
      <c r="L31" s="81">
        <f t="shared" si="23"/>
        <v>12857.065781501307</v>
      </c>
      <c r="M31" s="81">
        <f t="shared" si="4"/>
        <v>0</v>
      </c>
      <c r="N31" s="81">
        <f t="shared" si="24"/>
        <v>22342.934218498693</v>
      </c>
      <c r="O31" s="81">
        <f t="shared" si="5"/>
        <v>44566.182097364894</v>
      </c>
      <c r="P31" s="81">
        <f t="shared" si="25"/>
        <v>0</v>
      </c>
      <c r="Q31" s="81">
        <f t="shared" si="6"/>
        <v>0</v>
      </c>
      <c r="R31" s="81">
        <f t="shared" si="26"/>
        <v>0</v>
      </c>
      <c r="S31" s="81">
        <f t="shared" si="7"/>
        <v>0</v>
      </c>
      <c r="T31" s="81">
        <f t="shared" si="27"/>
        <v>0</v>
      </c>
      <c r="U31" s="81">
        <f t="shared" si="8"/>
        <v>0</v>
      </c>
      <c r="V31" s="81">
        <f t="shared" si="28"/>
        <v>0</v>
      </c>
      <c r="W31" s="81">
        <f t="shared" si="9"/>
        <v>0</v>
      </c>
      <c r="X31" s="81">
        <f t="shared" si="29"/>
        <v>0</v>
      </c>
      <c r="Y31" s="81">
        <f t="shared" si="10"/>
        <v>0</v>
      </c>
      <c r="Z31" s="81">
        <f t="shared" si="11"/>
        <v>0</v>
      </c>
      <c r="AA31" s="81">
        <f t="shared" si="12"/>
        <v>0</v>
      </c>
      <c r="AB31" s="81">
        <f t="shared" si="32"/>
        <v>0</v>
      </c>
      <c r="AC31" s="81">
        <f t="shared" si="14"/>
        <v>0</v>
      </c>
      <c r="AD31" s="81">
        <f t="shared" si="30"/>
        <v>0</v>
      </c>
      <c r="AE31" s="81">
        <f t="shared" si="15"/>
        <v>0</v>
      </c>
      <c r="AF31" s="81">
        <f t="shared" si="31"/>
        <v>0</v>
      </c>
      <c r="AG31" s="81">
        <f t="shared" si="16"/>
        <v>0</v>
      </c>
    </row>
    <row r="32" spans="1:33" ht="15.5" x14ac:dyDescent="0.35">
      <c r="A32" s="57">
        <v>20</v>
      </c>
      <c r="B32" s="80">
        <f t="shared" si="17"/>
        <v>0</v>
      </c>
      <c r="C32" s="81">
        <f t="shared" si="18"/>
        <v>0</v>
      </c>
      <c r="D32" s="81">
        <f t="shared" si="19"/>
        <v>0</v>
      </c>
      <c r="E32" s="81">
        <f t="shared" si="0"/>
        <v>0</v>
      </c>
      <c r="F32" s="81">
        <f t="shared" si="20"/>
        <v>0</v>
      </c>
      <c r="G32" s="81">
        <f t="shared" si="1"/>
        <v>0</v>
      </c>
      <c r="H32" s="81">
        <f t="shared" si="21"/>
        <v>0</v>
      </c>
      <c r="I32" s="81">
        <f t="shared" si="2"/>
        <v>0</v>
      </c>
      <c r="J32" s="81">
        <f t="shared" si="22"/>
        <v>0</v>
      </c>
      <c r="K32" s="81">
        <f t="shared" si="3"/>
        <v>0</v>
      </c>
      <c r="L32" s="81">
        <f t="shared" si="23"/>
        <v>0</v>
      </c>
      <c r="M32" s="81">
        <f t="shared" si="4"/>
        <v>0</v>
      </c>
      <c r="N32" s="81">
        <f t="shared" si="24"/>
        <v>35200</v>
      </c>
      <c r="O32" s="81">
        <f t="shared" si="5"/>
        <v>9662.7778637814499</v>
      </c>
      <c r="P32" s="81">
        <f t="shared" si="25"/>
        <v>0</v>
      </c>
      <c r="Q32" s="81">
        <f t="shared" si="6"/>
        <v>0</v>
      </c>
      <c r="R32" s="81">
        <f t="shared" si="26"/>
        <v>0</v>
      </c>
      <c r="S32" s="81">
        <f t="shared" si="7"/>
        <v>0</v>
      </c>
      <c r="T32" s="81">
        <f t="shared" si="27"/>
        <v>0</v>
      </c>
      <c r="U32" s="81">
        <f t="shared" si="8"/>
        <v>0</v>
      </c>
      <c r="V32" s="81">
        <f t="shared" si="28"/>
        <v>0</v>
      </c>
      <c r="W32" s="81">
        <f t="shared" si="9"/>
        <v>0</v>
      </c>
      <c r="X32" s="81">
        <f t="shared" si="29"/>
        <v>0</v>
      </c>
      <c r="Y32" s="81">
        <f t="shared" si="10"/>
        <v>0</v>
      </c>
      <c r="Z32" s="81">
        <f t="shared" si="11"/>
        <v>0</v>
      </c>
      <c r="AA32" s="81">
        <f t="shared" si="12"/>
        <v>0</v>
      </c>
      <c r="AB32" s="81">
        <f t="shared" si="32"/>
        <v>0</v>
      </c>
      <c r="AC32" s="81">
        <f t="shared" si="14"/>
        <v>0</v>
      </c>
      <c r="AD32" s="81">
        <f t="shared" si="30"/>
        <v>0</v>
      </c>
      <c r="AE32" s="81">
        <f t="shared" si="15"/>
        <v>0</v>
      </c>
      <c r="AF32" s="81">
        <f t="shared" si="31"/>
        <v>0</v>
      </c>
      <c r="AG32" s="81">
        <f t="shared" si="16"/>
        <v>0</v>
      </c>
    </row>
    <row r="33" spans="1:33" ht="15.5" x14ac:dyDescent="0.35">
      <c r="A33" s="57">
        <v>21</v>
      </c>
      <c r="B33" s="80">
        <f t="shared" si="17"/>
        <v>0</v>
      </c>
      <c r="C33" s="81">
        <f t="shared" si="18"/>
        <v>0</v>
      </c>
      <c r="D33" s="81">
        <f t="shared" si="19"/>
        <v>0</v>
      </c>
      <c r="E33" s="81">
        <f t="shared" si="0"/>
        <v>0</v>
      </c>
      <c r="F33" s="81">
        <f t="shared" si="20"/>
        <v>0</v>
      </c>
      <c r="G33" s="81">
        <f t="shared" si="1"/>
        <v>0</v>
      </c>
      <c r="H33" s="81">
        <f t="shared" si="21"/>
        <v>0</v>
      </c>
      <c r="I33" s="81">
        <f t="shared" si="2"/>
        <v>0</v>
      </c>
      <c r="J33" s="81">
        <f t="shared" si="22"/>
        <v>0</v>
      </c>
      <c r="K33" s="81">
        <f t="shared" si="3"/>
        <v>0</v>
      </c>
      <c r="L33" s="81">
        <f t="shared" si="23"/>
        <v>0</v>
      </c>
      <c r="M33" s="81">
        <f t="shared" si="4"/>
        <v>0</v>
      </c>
      <c r="N33" s="81">
        <f t="shared" si="24"/>
        <v>9662.7778637814499</v>
      </c>
      <c r="O33" s="81">
        <f t="shared" si="5"/>
        <v>0</v>
      </c>
      <c r="P33" s="81">
        <f t="shared" si="25"/>
        <v>0</v>
      </c>
      <c r="Q33" s="81">
        <f t="shared" si="6"/>
        <v>0</v>
      </c>
      <c r="R33" s="81">
        <f t="shared" si="26"/>
        <v>0</v>
      </c>
      <c r="S33" s="81">
        <f t="shared" si="7"/>
        <v>0</v>
      </c>
      <c r="T33" s="81">
        <f t="shared" si="27"/>
        <v>0</v>
      </c>
      <c r="U33" s="81">
        <f t="shared" si="8"/>
        <v>0</v>
      </c>
      <c r="V33" s="81">
        <f t="shared" si="28"/>
        <v>0</v>
      </c>
      <c r="W33" s="81">
        <f t="shared" si="9"/>
        <v>0</v>
      </c>
      <c r="X33" s="81">
        <f t="shared" si="29"/>
        <v>0</v>
      </c>
      <c r="Y33" s="81">
        <f t="shared" si="10"/>
        <v>0</v>
      </c>
      <c r="Z33" s="81">
        <f t="shared" si="11"/>
        <v>0</v>
      </c>
      <c r="AA33" s="81">
        <f t="shared" si="12"/>
        <v>0</v>
      </c>
      <c r="AB33" s="81">
        <f t="shared" si="32"/>
        <v>0</v>
      </c>
      <c r="AC33" s="81">
        <f t="shared" si="14"/>
        <v>0</v>
      </c>
      <c r="AD33" s="81">
        <f t="shared" si="30"/>
        <v>0</v>
      </c>
      <c r="AE33" s="81">
        <f t="shared" si="15"/>
        <v>0</v>
      </c>
      <c r="AF33" s="81">
        <f t="shared" si="31"/>
        <v>0</v>
      </c>
      <c r="AG33" s="81">
        <f t="shared" si="16"/>
        <v>0</v>
      </c>
    </row>
    <row r="34" spans="1:33" ht="15.5" x14ac:dyDescent="0.35">
      <c r="A34" s="57">
        <v>22</v>
      </c>
      <c r="B34" s="80">
        <f t="shared" si="17"/>
        <v>0</v>
      </c>
      <c r="C34" s="81">
        <f t="shared" si="18"/>
        <v>0</v>
      </c>
      <c r="D34" s="81">
        <f t="shared" si="19"/>
        <v>0</v>
      </c>
      <c r="E34" s="81">
        <f t="shared" si="0"/>
        <v>0</v>
      </c>
      <c r="F34" s="81">
        <f t="shared" si="20"/>
        <v>0</v>
      </c>
      <c r="G34" s="81">
        <f t="shared" si="1"/>
        <v>0</v>
      </c>
      <c r="H34" s="81">
        <f t="shared" si="21"/>
        <v>0</v>
      </c>
      <c r="I34" s="81">
        <f t="shared" si="2"/>
        <v>0</v>
      </c>
      <c r="J34" s="81">
        <f t="shared" si="22"/>
        <v>0</v>
      </c>
      <c r="K34" s="81">
        <f t="shared" si="3"/>
        <v>0</v>
      </c>
      <c r="L34" s="81">
        <f t="shared" si="23"/>
        <v>0</v>
      </c>
      <c r="M34" s="81">
        <f t="shared" si="4"/>
        <v>0</v>
      </c>
      <c r="N34" s="81">
        <f t="shared" si="24"/>
        <v>0</v>
      </c>
      <c r="O34" s="81">
        <f t="shared" si="5"/>
        <v>0</v>
      </c>
      <c r="P34" s="81">
        <f t="shared" si="25"/>
        <v>0</v>
      </c>
      <c r="Q34" s="81">
        <f t="shared" si="6"/>
        <v>0</v>
      </c>
      <c r="R34" s="81">
        <f t="shared" si="26"/>
        <v>0</v>
      </c>
      <c r="S34" s="81">
        <f t="shared" si="7"/>
        <v>0</v>
      </c>
      <c r="T34" s="81">
        <f t="shared" si="27"/>
        <v>0</v>
      </c>
      <c r="U34" s="81">
        <f t="shared" si="8"/>
        <v>0</v>
      </c>
      <c r="V34" s="81">
        <f t="shared" si="28"/>
        <v>0</v>
      </c>
      <c r="W34" s="81">
        <f t="shared" si="9"/>
        <v>0</v>
      </c>
      <c r="X34" s="81">
        <f t="shared" si="29"/>
        <v>0</v>
      </c>
      <c r="Y34" s="81">
        <f t="shared" si="10"/>
        <v>0</v>
      </c>
      <c r="Z34" s="81">
        <f t="shared" si="11"/>
        <v>0</v>
      </c>
      <c r="AA34" s="81">
        <f t="shared" si="12"/>
        <v>0</v>
      </c>
      <c r="AB34" s="81">
        <f t="shared" si="32"/>
        <v>0</v>
      </c>
      <c r="AC34" s="81">
        <f t="shared" si="14"/>
        <v>0</v>
      </c>
      <c r="AD34" s="81">
        <f t="shared" si="30"/>
        <v>0</v>
      </c>
      <c r="AE34" s="81">
        <f t="shared" si="15"/>
        <v>0</v>
      </c>
      <c r="AF34" s="81">
        <f t="shared" si="31"/>
        <v>0</v>
      </c>
      <c r="AG34" s="81">
        <f t="shared" si="16"/>
        <v>0</v>
      </c>
    </row>
    <row r="35" spans="1:33" ht="15.5" x14ac:dyDescent="0.35">
      <c r="A35" s="57">
        <v>23</v>
      </c>
      <c r="B35" s="80">
        <f t="shared" si="17"/>
        <v>0</v>
      </c>
      <c r="C35" s="81">
        <f t="shared" si="18"/>
        <v>0</v>
      </c>
      <c r="D35" s="81">
        <f t="shared" si="19"/>
        <v>0</v>
      </c>
      <c r="E35" s="81">
        <f t="shared" si="0"/>
        <v>0</v>
      </c>
      <c r="F35" s="81">
        <f t="shared" si="20"/>
        <v>0</v>
      </c>
      <c r="G35" s="81">
        <f t="shared" si="1"/>
        <v>0</v>
      </c>
      <c r="H35" s="81">
        <f t="shared" si="21"/>
        <v>0</v>
      </c>
      <c r="I35" s="81">
        <f t="shared" si="2"/>
        <v>0</v>
      </c>
      <c r="J35" s="81">
        <f t="shared" si="22"/>
        <v>0</v>
      </c>
      <c r="K35" s="81">
        <f t="shared" si="3"/>
        <v>0</v>
      </c>
      <c r="L35" s="81">
        <f t="shared" si="23"/>
        <v>0</v>
      </c>
      <c r="M35" s="81">
        <f t="shared" si="4"/>
        <v>0</v>
      </c>
      <c r="N35" s="81">
        <f t="shared" si="24"/>
        <v>0</v>
      </c>
      <c r="O35" s="81">
        <f t="shared" si="5"/>
        <v>0</v>
      </c>
      <c r="P35" s="81">
        <f t="shared" si="25"/>
        <v>0</v>
      </c>
      <c r="Q35" s="81">
        <f t="shared" si="6"/>
        <v>0</v>
      </c>
      <c r="R35" s="81">
        <f t="shared" si="26"/>
        <v>0</v>
      </c>
      <c r="S35" s="81">
        <f t="shared" si="7"/>
        <v>0</v>
      </c>
      <c r="T35" s="81">
        <f t="shared" si="27"/>
        <v>0</v>
      </c>
      <c r="U35" s="81">
        <f t="shared" si="8"/>
        <v>0</v>
      </c>
      <c r="V35" s="81">
        <f t="shared" si="28"/>
        <v>0</v>
      </c>
      <c r="W35" s="81">
        <f t="shared" si="9"/>
        <v>0</v>
      </c>
      <c r="X35" s="81">
        <f t="shared" si="29"/>
        <v>0</v>
      </c>
      <c r="Y35" s="81">
        <f t="shared" si="10"/>
        <v>0</v>
      </c>
      <c r="Z35" s="81">
        <f>IF(AND(((AA34-$H$2+X35+V35+T35+R35-AA$9-Y$9-W$9-U$9-S$9-Q$9-O$9-M$9-K$9-I$9-G$9-E$9-C$9)&lt;=0),Y35+W35+U35+S35=0),AA34, IF(AND((AA34-AA$9-$H$2)&lt;=0, Y35=0),AA34,IF(AA$9&gt;=AA34, AA34, IF(AND(Y35=0,W35=0,U35=0,S35=0), $H$2-X35-V35-T35-R35+AA$9+Y$9+W$9+U$9+S$9+Q$9+O$9+M$9+K$9+I$9+G$9+E$9+C$9,AA$9))))</f>
        <v>0</v>
      </c>
      <c r="AA35" s="81">
        <f t="shared" si="12"/>
        <v>0</v>
      </c>
      <c r="AB35" s="81">
        <f t="shared" si="32"/>
        <v>0</v>
      </c>
      <c r="AC35" s="81">
        <f t="shared" si="14"/>
        <v>0</v>
      </c>
      <c r="AD35" s="81">
        <f t="shared" si="30"/>
        <v>0</v>
      </c>
      <c r="AE35" s="81">
        <f t="shared" si="15"/>
        <v>0</v>
      </c>
      <c r="AF35" s="81">
        <f t="shared" si="31"/>
        <v>0</v>
      </c>
      <c r="AG35" s="81">
        <f t="shared" si="16"/>
        <v>0</v>
      </c>
    </row>
    <row r="36" spans="1:33" ht="15.5" x14ac:dyDescent="0.35">
      <c r="A36" s="57">
        <v>24</v>
      </c>
      <c r="B36" s="80">
        <f t="shared" si="17"/>
        <v>0</v>
      </c>
      <c r="C36" s="81">
        <f t="shared" si="18"/>
        <v>0</v>
      </c>
      <c r="D36" s="81">
        <f t="shared" si="19"/>
        <v>0</v>
      </c>
      <c r="E36" s="81">
        <f t="shared" si="0"/>
        <v>0</v>
      </c>
      <c r="F36" s="81">
        <f t="shared" si="20"/>
        <v>0</v>
      </c>
      <c r="G36" s="81">
        <f t="shared" si="1"/>
        <v>0</v>
      </c>
      <c r="H36" s="81">
        <f t="shared" si="21"/>
        <v>0</v>
      </c>
      <c r="I36" s="81">
        <f t="shared" si="2"/>
        <v>0</v>
      </c>
      <c r="J36" s="81">
        <f t="shared" si="22"/>
        <v>0</v>
      </c>
      <c r="K36" s="81">
        <f t="shared" si="3"/>
        <v>0</v>
      </c>
      <c r="L36" s="81">
        <f t="shared" si="23"/>
        <v>0</v>
      </c>
      <c r="M36" s="81">
        <f t="shared" si="4"/>
        <v>0</v>
      </c>
      <c r="N36" s="81">
        <f t="shared" si="24"/>
        <v>0</v>
      </c>
      <c r="O36" s="81">
        <f t="shared" si="5"/>
        <v>0</v>
      </c>
      <c r="P36" s="81">
        <f t="shared" si="25"/>
        <v>0</v>
      </c>
      <c r="Q36" s="81">
        <f t="shared" si="6"/>
        <v>0</v>
      </c>
      <c r="R36" s="81">
        <f t="shared" si="26"/>
        <v>0</v>
      </c>
      <c r="S36" s="81">
        <f t="shared" si="7"/>
        <v>0</v>
      </c>
      <c r="T36" s="81">
        <f t="shared" si="27"/>
        <v>0</v>
      </c>
      <c r="U36" s="81">
        <f t="shared" si="8"/>
        <v>0</v>
      </c>
      <c r="V36" s="81">
        <f t="shared" si="28"/>
        <v>0</v>
      </c>
      <c r="W36" s="81">
        <f t="shared" si="9"/>
        <v>0</v>
      </c>
      <c r="X36" s="81">
        <f t="shared" si="29"/>
        <v>0</v>
      </c>
      <c r="Y36" s="81">
        <f t="shared" si="10"/>
        <v>0</v>
      </c>
      <c r="Z36" s="81">
        <f>IF(AND(((AA35-$H$2+X36+V36+T36+R36-AA$9-Y$9-W$9-U$9-S$9-Q$9-O$9-M$9-K$9-I$9-G$9-E$9-C$9)&lt;=0),Y36+W36+U36+S36=0),AA35, IF(AND((AA35-AA$9-$H$2)&lt;=0, Y36=0),AA35,IF(AA$9&gt;=AA35, AA35, IF(AND(Y36=0,W36=0,U36=0,S36=0), $H$2-X36-V36-T36-R36+AA$9+Y$9+W$9+U$9+S$9+Q$9+O$9+M$9+K$9+I$9+G$9+E$9+C$9,AA$9))))</f>
        <v>0</v>
      </c>
      <c r="AA36" s="81">
        <f t="shared" si="12"/>
        <v>0</v>
      </c>
      <c r="AB36" s="81">
        <f t="shared" si="32"/>
        <v>0</v>
      </c>
      <c r="AC36" s="81">
        <f t="shared" si="14"/>
        <v>0</v>
      </c>
      <c r="AD36" s="81">
        <f t="shared" si="30"/>
        <v>0</v>
      </c>
      <c r="AE36" s="81">
        <f t="shared" si="15"/>
        <v>0</v>
      </c>
      <c r="AF36" s="81">
        <f t="shared" si="31"/>
        <v>0</v>
      </c>
      <c r="AG36" s="81">
        <f t="shared" si="16"/>
        <v>0</v>
      </c>
    </row>
    <row r="37" spans="1:33" ht="15.5" x14ac:dyDescent="0.35">
      <c r="A37" s="57">
        <v>25</v>
      </c>
      <c r="B37" s="80">
        <f t="shared" si="17"/>
        <v>0</v>
      </c>
      <c r="C37" s="81">
        <f t="shared" si="18"/>
        <v>0</v>
      </c>
      <c r="D37" s="81">
        <f t="shared" si="19"/>
        <v>0</v>
      </c>
      <c r="E37" s="81">
        <f t="shared" si="0"/>
        <v>0</v>
      </c>
      <c r="F37" s="81">
        <f t="shared" si="20"/>
        <v>0</v>
      </c>
      <c r="G37" s="81">
        <f t="shared" si="1"/>
        <v>0</v>
      </c>
      <c r="H37" s="81">
        <f t="shared" si="21"/>
        <v>0</v>
      </c>
      <c r="I37" s="81">
        <f t="shared" si="2"/>
        <v>0</v>
      </c>
      <c r="J37" s="81">
        <f t="shared" si="22"/>
        <v>0</v>
      </c>
      <c r="K37" s="81">
        <f t="shared" si="3"/>
        <v>0</v>
      </c>
      <c r="L37" s="81">
        <f t="shared" si="23"/>
        <v>0</v>
      </c>
      <c r="M37" s="81">
        <f t="shared" si="4"/>
        <v>0</v>
      </c>
      <c r="N37" s="81">
        <f t="shared" si="24"/>
        <v>0</v>
      </c>
      <c r="O37" s="81">
        <f t="shared" si="5"/>
        <v>0</v>
      </c>
      <c r="P37" s="81">
        <f t="shared" si="25"/>
        <v>0</v>
      </c>
      <c r="Q37" s="81">
        <f t="shared" si="6"/>
        <v>0</v>
      </c>
      <c r="R37" s="81">
        <f t="shared" si="26"/>
        <v>0</v>
      </c>
      <c r="S37" s="81">
        <f t="shared" si="7"/>
        <v>0</v>
      </c>
      <c r="T37" s="81">
        <f t="shared" si="27"/>
        <v>0</v>
      </c>
      <c r="U37" s="81">
        <f t="shared" si="8"/>
        <v>0</v>
      </c>
      <c r="V37" s="81">
        <f t="shared" si="28"/>
        <v>0</v>
      </c>
      <c r="W37" s="81">
        <f t="shared" si="9"/>
        <v>0</v>
      </c>
      <c r="X37" s="81">
        <f t="shared" si="29"/>
        <v>0</v>
      </c>
      <c r="Y37" s="81">
        <f t="shared" si="10"/>
        <v>0</v>
      </c>
      <c r="Z37" s="81">
        <f t="shared" ref="Z37:Z100" si="33">IF(AND(((AA36-$H$2+X37+V37+T37+R37-AA$9-Y$9-W$9-U$9-S$9-Q$9-O$9-M$9-K$9-I$9-G$9-E$9-C$9)&lt;=0),Y37+W37+U37+S37=0),AA36, IF(AND((AA36-AA$9-$H$2)&lt;=0, Y37=0),AA36,IF(AA$9&gt;=AA36, AA36, IF(AND(Y37=0,W37=0,U37=0,S37=0), $H$2-X37-V37-T37-R37+AA$9+Y$9+W$9+U$9+S$9+Q$9+O$9+M$9+K$9+I$9+G$9+E$9+C$9,AA$9))))</f>
        <v>0</v>
      </c>
      <c r="AA37" s="81">
        <f t="shared" si="12"/>
        <v>0</v>
      </c>
      <c r="AB37" s="81">
        <f>IF(AND(((AC36-$H$2+Z37+X37+V37+T37-AC$9-AA$9-Y$9-W$9-U$9-S$9-Q$9-O$9-M$9-K$9-I$9-G$9-E$9-C$9)&lt;=0),AA37+Y37+W37+U37=0),AC36, IF(AND((AC36-AC$9-$H$2)&lt;=0, AA37=0),AC36,IF(AC$9&gt;=AC36, AC36, IF(AND(AA37=0,Y37=0,W37=0,U37=0), $H$2-Z37-X37-V37-T37+AC$9+AA$9+Y$9+W$9+U$9+S$9+Q$9+O$9+M$9+K$9+I$9+G$9+E$9+C$9,AC$9))))</f>
        <v>0</v>
      </c>
      <c r="AC37" s="81">
        <f t="shared" si="14"/>
        <v>0</v>
      </c>
      <c r="AD37" s="81">
        <f t="shared" si="30"/>
        <v>0</v>
      </c>
      <c r="AE37" s="81">
        <f t="shared" si="15"/>
        <v>0</v>
      </c>
      <c r="AF37" s="81">
        <f t="shared" si="31"/>
        <v>0</v>
      </c>
      <c r="AG37" s="81">
        <f t="shared" si="16"/>
        <v>0</v>
      </c>
    </row>
    <row r="38" spans="1:33" ht="15.5" x14ac:dyDescent="0.35">
      <c r="A38" s="57">
        <v>26</v>
      </c>
      <c r="B38" s="80">
        <f t="shared" si="17"/>
        <v>0</v>
      </c>
      <c r="C38" s="81">
        <f t="shared" si="18"/>
        <v>0</v>
      </c>
      <c r="D38" s="81">
        <f t="shared" si="19"/>
        <v>0</v>
      </c>
      <c r="E38" s="81">
        <f t="shared" si="0"/>
        <v>0</v>
      </c>
      <c r="F38" s="81">
        <f t="shared" si="20"/>
        <v>0</v>
      </c>
      <c r="G38" s="81">
        <f t="shared" si="1"/>
        <v>0</v>
      </c>
      <c r="H38" s="81">
        <f t="shared" si="21"/>
        <v>0</v>
      </c>
      <c r="I38" s="81">
        <f t="shared" si="2"/>
        <v>0</v>
      </c>
      <c r="J38" s="81">
        <f t="shared" si="22"/>
        <v>0</v>
      </c>
      <c r="K38" s="81">
        <f t="shared" si="3"/>
        <v>0</v>
      </c>
      <c r="L38" s="81">
        <f t="shared" si="23"/>
        <v>0</v>
      </c>
      <c r="M38" s="81">
        <f t="shared" si="4"/>
        <v>0</v>
      </c>
      <c r="N38" s="81">
        <f t="shared" si="24"/>
        <v>0</v>
      </c>
      <c r="O38" s="81">
        <f t="shared" si="5"/>
        <v>0</v>
      </c>
      <c r="P38" s="81">
        <f t="shared" si="25"/>
        <v>0</v>
      </c>
      <c r="Q38" s="81">
        <f t="shared" si="6"/>
        <v>0</v>
      </c>
      <c r="R38" s="81">
        <f t="shared" si="26"/>
        <v>0</v>
      </c>
      <c r="S38" s="81">
        <f t="shared" si="7"/>
        <v>0</v>
      </c>
      <c r="T38" s="81">
        <f t="shared" si="27"/>
        <v>0</v>
      </c>
      <c r="U38" s="81">
        <f t="shared" si="8"/>
        <v>0</v>
      </c>
      <c r="V38" s="81">
        <f t="shared" si="28"/>
        <v>0</v>
      </c>
      <c r="W38" s="81">
        <f t="shared" si="9"/>
        <v>0</v>
      </c>
      <c r="X38" s="81">
        <f t="shared" si="29"/>
        <v>0</v>
      </c>
      <c r="Y38" s="81">
        <f t="shared" si="10"/>
        <v>0</v>
      </c>
      <c r="Z38" s="81">
        <f t="shared" si="33"/>
        <v>0</v>
      </c>
      <c r="AA38" s="81">
        <f t="shared" si="12"/>
        <v>0</v>
      </c>
      <c r="AB38" s="81">
        <f t="shared" si="32"/>
        <v>0</v>
      </c>
      <c r="AC38" s="81">
        <f t="shared" si="14"/>
        <v>0</v>
      </c>
      <c r="AD38" s="81">
        <f t="shared" si="30"/>
        <v>0</v>
      </c>
      <c r="AE38" s="81">
        <f t="shared" si="15"/>
        <v>0</v>
      </c>
      <c r="AF38" s="81">
        <f t="shared" si="31"/>
        <v>0</v>
      </c>
      <c r="AG38" s="81">
        <f t="shared" si="16"/>
        <v>0</v>
      </c>
    </row>
    <row r="39" spans="1:33" ht="15.5" x14ac:dyDescent="0.35">
      <c r="A39" s="57">
        <v>27</v>
      </c>
      <c r="B39" s="80">
        <f t="shared" si="17"/>
        <v>0</v>
      </c>
      <c r="C39" s="81">
        <f t="shared" si="18"/>
        <v>0</v>
      </c>
      <c r="D39" s="81">
        <f t="shared" si="19"/>
        <v>0</v>
      </c>
      <c r="E39" s="81">
        <f t="shared" si="0"/>
        <v>0</v>
      </c>
      <c r="F39" s="81">
        <f t="shared" si="20"/>
        <v>0</v>
      </c>
      <c r="G39" s="81">
        <f t="shared" si="1"/>
        <v>0</v>
      </c>
      <c r="H39" s="81">
        <f t="shared" si="21"/>
        <v>0</v>
      </c>
      <c r="I39" s="81">
        <f t="shared" si="2"/>
        <v>0</v>
      </c>
      <c r="J39" s="81">
        <f t="shared" si="22"/>
        <v>0</v>
      </c>
      <c r="K39" s="81">
        <f t="shared" si="3"/>
        <v>0</v>
      </c>
      <c r="L39" s="81">
        <f t="shared" si="23"/>
        <v>0</v>
      </c>
      <c r="M39" s="81">
        <f t="shared" si="4"/>
        <v>0</v>
      </c>
      <c r="N39" s="81">
        <f t="shared" si="24"/>
        <v>0</v>
      </c>
      <c r="O39" s="81">
        <f t="shared" si="5"/>
        <v>0</v>
      </c>
      <c r="P39" s="81">
        <f t="shared" si="25"/>
        <v>0</v>
      </c>
      <c r="Q39" s="81">
        <f t="shared" si="6"/>
        <v>0</v>
      </c>
      <c r="R39" s="81">
        <f t="shared" si="26"/>
        <v>0</v>
      </c>
      <c r="S39" s="81">
        <f t="shared" si="7"/>
        <v>0</v>
      </c>
      <c r="T39" s="81">
        <f t="shared" si="27"/>
        <v>0</v>
      </c>
      <c r="U39" s="81">
        <f t="shared" si="8"/>
        <v>0</v>
      </c>
      <c r="V39" s="81">
        <f t="shared" si="28"/>
        <v>0</v>
      </c>
      <c r="W39" s="81">
        <f t="shared" si="9"/>
        <v>0</v>
      </c>
      <c r="X39" s="81">
        <f t="shared" si="29"/>
        <v>0</v>
      </c>
      <c r="Y39" s="81">
        <f t="shared" si="10"/>
        <v>0</v>
      </c>
      <c r="Z39" s="81">
        <f t="shared" si="33"/>
        <v>0</v>
      </c>
      <c r="AA39" s="81">
        <f t="shared" si="12"/>
        <v>0</v>
      </c>
      <c r="AB39" s="81">
        <f t="shared" si="32"/>
        <v>0</v>
      </c>
      <c r="AC39" s="81">
        <f t="shared" si="14"/>
        <v>0</v>
      </c>
      <c r="AD39" s="81">
        <f t="shared" si="30"/>
        <v>0</v>
      </c>
      <c r="AE39" s="81">
        <f t="shared" si="15"/>
        <v>0</v>
      </c>
      <c r="AF39" s="81">
        <f t="shared" si="31"/>
        <v>0</v>
      </c>
      <c r="AG39" s="81">
        <f t="shared" si="16"/>
        <v>0</v>
      </c>
    </row>
    <row r="40" spans="1:33" ht="15.5" x14ac:dyDescent="0.35">
      <c r="A40" s="57">
        <v>28</v>
      </c>
      <c r="B40" s="80">
        <f t="shared" si="17"/>
        <v>0</v>
      </c>
      <c r="C40" s="81">
        <f t="shared" si="18"/>
        <v>0</v>
      </c>
      <c r="D40" s="81">
        <f t="shared" si="19"/>
        <v>0</v>
      </c>
      <c r="E40" s="81">
        <f t="shared" si="0"/>
        <v>0</v>
      </c>
      <c r="F40" s="81">
        <f t="shared" si="20"/>
        <v>0</v>
      </c>
      <c r="G40" s="81">
        <f t="shared" si="1"/>
        <v>0</v>
      </c>
      <c r="H40" s="81">
        <f t="shared" si="21"/>
        <v>0</v>
      </c>
      <c r="I40" s="81">
        <f t="shared" si="2"/>
        <v>0</v>
      </c>
      <c r="J40" s="81">
        <f t="shared" si="22"/>
        <v>0</v>
      </c>
      <c r="K40" s="81">
        <f t="shared" si="3"/>
        <v>0</v>
      </c>
      <c r="L40" s="81">
        <f t="shared" si="23"/>
        <v>0</v>
      </c>
      <c r="M40" s="81">
        <f t="shared" si="4"/>
        <v>0</v>
      </c>
      <c r="N40" s="81">
        <f t="shared" si="24"/>
        <v>0</v>
      </c>
      <c r="O40" s="81">
        <f t="shared" si="5"/>
        <v>0</v>
      </c>
      <c r="P40" s="81">
        <f t="shared" si="25"/>
        <v>0</v>
      </c>
      <c r="Q40" s="81">
        <f t="shared" si="6"/>
        <v>0</v>
      </c>
      <c r="R40" s="81">
        <f t="shared" si="26"/>
        <v>0</v>
      </c>
      <c r="S40" s="81">
        <f t="shared" si="7"/>
        <v>0</v>
      </c>
      <c r="T40" s="81">
        <f t="shared" si="27"/>
        <v>0</v>
      </c>
      <c r="U40" s="81">
        <f t="shared" si="8"/>
        <v>0</v>
      </c>
      <c r="V40" s="81">
        <f t="shared" si="28"/>
        <v>0</v>
      </c>
      <c r="W40" s="81">
        <f t="shared" si="9"/>
        <v>0</v>
      </c>
      <c r="X40" s="81">
        <f t="shared" si="29"/>
        <v>0</v>
      </c>
      <c r="Y40" s="81">
        <f t="shared" si="10"/>
        <v>0</v>
      </c>
      <c r="Z40" s="81">
        <f t="shared" si="33"/>
        <v>0</v>
      </c>
      <c r="AA40" s="81">
        <f t="shared" si="12"/>
        <v>0</v>
      </c>
      <c r="AB40" s="81">
        <f t="shared" si="32"/>
        <v>0</v>
      </c>
      <c r="AC40" s="81">
        <f t="shared" si="14"/>
        <v>0</v>
      </c>
      <c r="AD40" s="81">
        <f t="shared" si="30"/>
        <v>0</v>
      </c>
      <c r="AE40" s="81">
        <f t="shared" si="15"/>
        <v>0</v>
      </c>
      <c r="AF40" s="81">
        <f t="shared" si="31"/>
        <v>0</v>
      </c>
      <c r="AG40" s="81">
        <f t="shared" si="16"/>
        <v>0</v>
      </c>
    </row>
    <row r="41" spans="1:33" ht="15.5" x14ac:dyDescent="0.35">
      <c r="A41" s="57">
        <v>29</v>
      </c>
      <c r="B41" s="80">
        <f t="shared" si="17"/>
        <v>0</v>
      </c>
      <c r="C41" s="81">
        <f t="shared" si="18"/>
        <v>0</v>
      </c>
      <c r="D41" s="81">
        <f t="shared" si="19"/>
        <v>0</v>
      </c>
      <c r="E41" s="81">
        <f t="shared" si="0"/>
        <v>0</v>
      </c>
      <c r="F41" s="81">
        <f t="shared" si="20"/>
        <v>0</v>
      </c>
      <c r="G41" s="81">
        <f t="shared" si="1"/>
        <v>0</v>
      </c>
      <c r="H41" s="81">
        <f t="shared" si="21"/>
        <v>0</v>
      </c>
      <c r="I41" s="81">
        <f t="shared" si="2"/>
        <v>0</v>
      </c>
      <c r="J41" s="81">
        <f t="shared" si="22"/>
        <v>0</v>
      </c>
      <c r="K41" s="81">
        <f t="shared" si="3"/>
        <v>0</v>
      </c>
      <c r="L41" s="81">
        <f t="shared" si="23"/>
        <v>0</v>
      </c>
      <c r="M41" s="81">
        <f t="shared" si="4"/>
        <v>0</v>
      </c>
      <c r="N41" s="81">
        <f t="shared" si="24"/>
        <v>0</v>
      </c>
      <c r="O41" s="81">
        <f t="shared" si="5"/>
        <v>0</v>
      </c>
      <c r="P41" s="81">
        <f t="shared" si="25"/>
        <v>0</v>
      </c>
      <c r="Q41" s="81">
        <f t="shared" si="6"/>
        <v>0</v>
      </c>
      <c r="R41" s="81">
        <f t="shared" si="26"/>
        <v>0</v>
      </c>
      <c r="S41" s="81">
        <f t="shared" si="7"/>
        <v>0</v>
      </c>
      <c r="T41" s="81">
        <f t="shared" si="27"/>
        <v>0</v>
      </c>
      <c r="U41" s="81">
        <f t="shared" si="8"/>
        <v>0</v>
      </c>
      <c r="V41" s="81">
        <f t="shared" si="28"/>
        <v>0</v>
      </c>
      <c r="W41" s="81">
        <f t="shared" si="9"/>
        <v>0</v>
      </c>
      <c r="X41" s="81">
        <f t="shared" si="29"/>
        <v>0</v>
      </c>
      <c r="Y41" s="81">
        <f t="shared" si="10"/>
        <v>0</v>
      </c>
      <c r="Z41" s="81">
        <f t="shared" si="33"/>
        <v>0</v>
      </c>
      <c r="AA41" s="81">
        <f t="shared" si="12"/>
        <v>0</v>
      </c>
      <c r="AB41" s="81">
        <f t="shared" si="32"/>
        <v>0</v>
      </c>
      <c r="AC41" s="81">
        <f t="shared" si="14"/>
        <v>0</v>
      </c>
      <c r="AD41" s="81">
        <f t="shared" si="30"/>
        <v>0</v>
      </c>
      <c r="AE41" s="81">
        <f t="shared" si="15"/>
        <v>0</v>
      </c>
      <c r="AF41" s="81">
        <f t="shared" si="31"/>
        <v>0</v>
      </c>
      <c r="AG41" s="81">
        <f t="shared" si="16"/>
        <v>0</v>
      </c>
    </row>
    <row r="42" spans="1:33" ht="15.5" x14ac:dyDescent="0.35">
      <c r="A42" s="57">
        <v>30</v>
      </c>
      <c r="B42" s="80">
        <f t="shared" si="17"/>
        <v>0</v>
      </c>
      <c r="C42" s="81">
        <f t="shared" si="18"/>
        <v>0</v>
      </c>
      <c r="D42" s="81">
        <f t="shared" si="19"/>
        <v>0</v>
      </c>
      <c r="E42" s="81">
        <f t="shared" si="0"/>
        <v>0</v>
      </c>
      <c r="F42" s="81">
        <f t="shared" si="20"/>
        <v>0</v>
      </c>
      <c r="G42" s="81">
        <f t="shared" si="1"/>
        <v>0</v>
      </c>
      <c r="H42" s="81">
        <f t="shared" si="21"/>
        <v>0</v>
      </c>
      <c r="I42" s="81">
        <f t="shared" si="2"/>
        <v>0</v>
      </c>
      <c r="J42" s="81">
        <f t="shared" si="22"/>
        <v>0</v>
      </c>
      <c r="K42" s="81">
        <f t="shared" si="3"/>
        <v>0</v>
      </c>
      <c r="L42" s="81">
        <f t="shared" si="23"/>
        <v>0</v>
      </c>
      <c r="M42" s="81">
        <f t="shared" si="4"/>
        <v>0</v>
      </c>
      <c r="N42" s="81">
        <f t="shared" si="24"/>
        <v>0</v>
      </c>
      <c r="O42" s="81">
        <f t="shared" si="5"/>
        <v>0</v>
      </c>
      <c r="P42" s="81">
        <f t="shared" si="25"/>
        <v>0</v>
      </c>
      <c r="Q42" s="81">
        <f t="shared" si="6"/>
        <v>0</v>
      </c>
      <c r="R42" s="81">
        <f t="shared" si="26"/>
        <v>0</v>
      </c>
      <c r="S42" s="81">
        <f t="shared" si="7"/>
        <v>0</v>
      </c>
      <c r="T42" s="81">
        <f t="shared" si="27"/>
        <v>0</v>
      </c>
      <c r="U42" s="81">
        <f t="shared" si="8"/>
        <v>0</v>
      </c>
      <c r="V42" s="81">
        <f t="shared" si="28"/>
        <v>0</v>
      </c>
      <c r="W42" s="81">
        <f t="shared" si="9"/>
        <v>0</v>
      </c>
      <c r="X42" s="81">
        <f t="shared" si="29"/>
        <v>0</v>
      </c>
      <c r="Y42" s="81">
        <f t="shared" si="10"/>
        <v>0</v>
      </c>
      <c r="Z42" s="81">
        <f t="shared" si="33"/>
        <v>0</v>
      </c>
      <c r="AA42" s="81">
        <f t="shared" si="12"/>
        <v>0</v>
      </c>
      <c r="AB42" s="81">
        <f t="shared" si="32"/>
        <v>0</v>
      </c>
      <c r="AC42" s="81">
        <f t="shared" si="14"/>
        <v>0</v>
      </c>
      <c r="AD42" s="81">
        <f t="shared" si="30"/>
        <v>0</v>
      </c>
      <c r="AE42" s="81">
        <f t="shared" si="15"/>
        <v>0</v>
      </c>
      <c r="AF42" s="81">
        <f t="shared" si="31"/>
        <v>0</v>
      </c>
      <c r="AG42" s="81">
        <f t="shared" si="16"/>
        <v>0</v>
      </c>
    </row>
    <row r="43" spans="1:33" ht="15.5" x14ac:dyDescent="0.35">
      <c r="A43" s="57">
        <v>31</v>
      </c>
      <c r="B43" s="80">
        <f t="shared" si="17"/>
        <v>0</v>
      </c>
      <c r="C43" s="81">
        <f t="shared" si="18"/>
        <v>0</v>
      </c>
      <c r="D43" s="81">
        <f t="shared" si="19"/>
        <v>0</v>
      </c>
      <c r="E43" s="81">
        <f t="shared" si="0"/>
        <v>0</v>
      </c>
      <c r="F43" s="81">
        <f t="shared" si="20"/>
        <v>0</v>
      </c>
      <c r="G43" s="81">
        <f t="shared" si="1"/>
        <v>0</v>
      </c>
      <c r="H43" s="81">
        <f t="shared" si="21"/>
        <v>0</v>
      </c>
      <c r="I43" s="81">
        <f t="shared" si="2"/>
        <v>0</v>
      </c>
      <c r="J43" s="81">
        <f t="shared" si="22"/>
        <v>0</v>
      </c>
      <c r="K43" s="81">
        <f t="shared" si="3"/>
        <v>0</v>
      </c>
      <c r="L43" s="81">
        <f t="shared" si="23"/>
        <v>0</v>
      </c>
      <c r="M43" s="81">
        <f t="shared" si="4"/>
        <v>0</v>
      </c>
      <c r="N43" s="81">
        <f t="shared" si="24"/>
        <v>0</v>
      </c>
      <c r="O43" s="81">
        <f t="shared" si="5"/>
        <v>0</v>
      </c>
      <c r="P43" s="81">
        <f t="shared" si="25"/>
        <v>0</v>
      </c>
      <c r="Q43" s="81">
        <f t="shared" si="6"/>
        <v>0</v>
      </c>
      <c r="R43" s="81">
        <f t="shared" si="26"/>
        <v>0</v>
      </c>
      <c r="S43" s="81">
        <f t="shared" si="7"/>
        <v>0</v>
      </c>
      <c r="T43" s="81">
        <f t="shared" si="27"/>
        <v>0</v>
      </c>
      <c r="U43" s="81">
        <f t="shared" si="8"/>
        <v>0</v>
      </c>
      <c r="V43" s="81">
        <f t="shared" si="28"/>
        <v>0</v>
      </c>
      <c r="W43" s="81">
        <f t="shared" si="9"/>
        <v>0</v>
      </c>
      <c r="X43" s="81">
        <f t="shared" si="29"/>
        <v>0</v>
      </c>
      <c r="Y43" s="81">
        <f t="shared" si="10"/>
        <v>0</v>
      </c>
      <c r="Z43" s="81">
        <f t="shared" si="33"/>
        <v>0</v>
      </c>
      <c r="AA43" s="81">
        <f t="shared" si="12"/>
        <v>0</v>
      </c>
      <c r="AB43" s="81">
        <f t="shared" si="32"/>
        <v>0</v>
      </c>
      <c r="AC43" s="81">
        <f t="shared" si="14"/>
        <v>0</v>
      </c>
      <c r="AD43" s="81">
        <f t="shared" si="30"/>
        <v>0</v>
      </c>
      <c r="AE43" s="81">
        <f t="shared" si="15"/>
        <v>0</v>
      </c>
      <c r="AF43" s="81">
        <f t="shared" si="31"/>
        <v>0</v>
      </c>
      <c r="AG43" s="81">
        <f t="shared" si="16"/>
        <v>0</v>
      </c>
    </row>
    <row r="44" spans="1:33" ht="15.5" x14ac:dyDescent="0.35">
      <c r="A44" s="57">
        <v>32</v>
      </c>
      <c r="B44" s="80">
        <f t="shared" si="17"/>
        <v>0</v>
      </c>
      <c r="C44" s="81">
        <f t="shared" si="18"/>
        <v>0</v>
      </c>
      <c r="D44" s="81">
        <f t="shared" si="19"/>
        <v>0</v>
      </c>
      <c r="E44" s="81">
        <f t="shared" si="0"/>
        <v>0</v>
      </c>
      <c r="F44" s="81">
        <f t="shared" si="20"/>
        <v>0</v>
      </c>
      <c r="G44" s="81">
        <f t="shared" si="1"/>
        <v>0</v>
      </c>
      <c r="H44" s="81">
        <f t="shared" si="21"/>
        <v>0</v>
      </c>
      <c r="I44" s="81">
        <f t="shared" si="2"/>
        <v>0</v>
      </c>
      <c r="J44" s="81">
        <f t="shared" si="22"/>
        <v>0</v>
      </c>
      <c r="K44" s="81">
        <f t="shared" si="3"/>
        <v>0</v>
      </c>
      <c r="L44" s="81">
        <f t="shared" si="23"/>
        <v>0</v>
      </c>
      <c r="M44" s="81">
        <f t="shared" si="4"/>
        <v>0</v>
      </c>
      <c r="N44" s="81">
        <f t="shared" si="24"/>
        <v>0</v>
      </c>
      <c r="O44" s="81">
        <f t="shared" si="5"/>
        <v>0</v>
      </c>
      <c r="P44" s="81">
        <f t="shared" si="25"/>
        <v>0</v>
      </c>
      <c r="Q44" s="81">
        <f t="shared" si="6"/>
        <v>0</v>
      </c>
      <c r="R44" s="81">
        <f t="shared" si="26"/>
        <v>0</v>
      </c>
      <c r="S44" s="81">
        <f t="shared" si="7"/>
        <v>0</v>
      </c>
      <c r="T44" s="81">
        <f t="shared" si="27"/>
        <v>0</v>
      </c>
      <c r="U44" s="81">
        <f t="shared" si="8"/>
        <v>0</v>
      </c>
      <c r="V44" s="81">
        <f t="shared" si="28"/>
        <v>0</v>
      </c>
      <c r="W44" s="81">
        <f t="shared" si="9"/>
        <v>0</v>
      </c>
      <c r="X44" s="81">
        <f t="shared" si="29"/>
        <v>0</v>
      </c>
      <c r="Y44" s="81">
        <f t="shared" si="10"/>
        <v>0</v>
      </c>
      <c r="Z44" s="81">
        <f t="shared" si="33"/>
        <v>0</v>
      </c>
      <c r="AA44" s="81">
        <f t="shared" si="12"/>
        <v>0</v>
      </c>
      <c r="AB44" s="81">
        <f t="shared" si="32"/>
        <v>0</v>
      </c>
      <c r="AC44" s="81">
        <f t="shared" si="14"/>
        <v>0</v>
      </c>
      <c r="AD44" s="81">
        <f t="shared" si="30"/>
        <v>0</v>
      </c>
      <c r="AE44" s="81">
        <f t="shared" si="15"/>
        <v>0</v>
      </c>
      <c r="AF44" s="81">
        <f t="shared" si="31"/>
        <v>0</v>
      </c>
      <c r="AG44" s="81">
        <f t="shared" si="16"/>
        <v>0</v>
      </c>
    </row>
    <row r="45" spans="1:33" ht="15.5" x14ac:dyDescent="0.35">
      <c r="A45" s="57">
        <v>33</v>
      </c>
      <c r="B45" s="80">
        <f t="shared" si="17"/>
        <v>0</v>
      </c>
      <c r="C45" s="81">
        <f t="shared" si="18"/>
        <v>0</v>
      </c>
      <c r="D45" s="81">
        <f t="shared" si="19"/>
        <v>0</v>
      </c>
      <c r="E45" s="81">
        <f t="shared" si="0"/>
        <v>0</v>
      </c>
      <c r="F45" s="81">
        <f t="shared" si="20"/>
        <v>0</v>
      </c>
      <c r="G45" s="81">
        <f t="shared" si="1"/>
        <v>0</v>
      </c>
      <c r="H45" s="81">
        <f t="shared" si="21"/>
        <v>0</v>
      </c>
      <c r="I45" s="81">
        <f t="shared" si="2"/>
        <v>0</v>
      </c>
      <c r="J45" s="81">
        <f t="shared" si="22"/>
        <v>0</v>
      </c>
      <c r="K45" s="81">
        <f t="shared" si="3"/>
        <v>0</v>
      </c>
      <c r="L45" s="81">
        <f t="shared" si="23"/>
        <v>0</v>
      </c>
      <c r="M45" s="81">
        <f t="shared" si="4"/>
        <v>0</v>
      </c>
      <c r="N45" s="81">
        <f t="shared" si="24"/>
        <v>0</v>
      </c>
      <c r="O45" s="81">
        <f t="shared" si="5"/>
        <v>0</v>
      </c>
      <c r="P45" s="81">
        <f t="shared" si="25"/>
        <v>0</v>
      </c>
      <c r="Q45" s="81">
        <f t="shared" si="6"/>
        <v>0</v>
      </c>
      <c r="R45" s="81">
        <f t="shared" si="26"/>
        <v>0</v>
      </c>
      <c r="S45" s="81">
        <f t="shared" si="7"/>
        <v>0</v>
      </c>
      <c r="T45" s="81">
        <f t="shared" si="27"/>
        <v>0</v>
      </c>
      <c r="U45" s="81">
        <f t="shared" si="8"/>
        <v>0</v>
      </c>
      <c r="V45" s="81">
        <f t="shared" si="28"/>
        <v>0</v>
      </c>
      <c r="W45" s="81">
        <f t="shared" si="9"/>
        <v>0</v>
      </c>
      <c r="X45" s="81">
        <f t="shared" si="29"/>
        <v>0</v>
      </c>
      <c r="Y45" s="81">
        <f t="shared" si="10"/>
        <v>0</v>
      </c>
      <c r="Z45" s="81">
        <f t="shared" si="33"/>
        <v>0</v>
      </c>
      <c r="AA45" s="81">
        <f t="shared" si="12"/>
        <v>0</v>
      </c>
      <c r="AB45" s="81">
        <f t="shared" si="32"/>
        <v>0</v>
      </c>
      <c r="AC45" s="81">
        <f t="shared" si="14"/>
        <v>0</v>
      </c>
      <c r="AD45" s="81">
        <f t="shared" si="30"/>
        <v>0</v>
      </c>
      <c r="AE45" s="81">
        <f t="shared" si="15"/>
        <v>0</v>
      </c>
      <c r="AF45" s="81">
        <f t="shared" si="31"/>
        <v>0</v>
      </c>
      <c r="AG45" s="81">
        <f t="shared" si="16"/>
        <v>0</v>
      </c>
    </row>
    <row r="46" spans="1:33" ht="15.5" x14ac:dyDescent="0.35">
      <c r="A46" s="57">
        <v>34</v>
      </c>
      <c r="B46" s="80">
        <f t="shared" si="17"/>
        <v>0</v>
      </c>
      <c r="C46" s="81">
        <f t="shared" si="18"/>
        <v>0</v>
      </c>
      <c r="D46" s="81">
        <f t="shared" si="19"/>
        <v>0</v>
      </c>
      <c r="E46" s="81">
        <f t="shared" si="0"/>
        <v>0</v>
      </c>
      <c r="F46" s="81">
        <f t="shared" si="20"/>
        <v>0</v>
      </c>
      <c r="G46" s="81">
        <f t="shared" si="1"/>
        <v>0</v>
      </c>
      <c r="H46" s="81">
        <f t="shared" si="21"/>
        <v>0</v>
      </c>
      <c r="I46" s="81">
        <f t="shared" si="2"/>
        <v>0</v>
      </c>
      <c r="J46" s="81">
        <f t="shared" si="22"/>
        <v>0</v>
      </c>
      <c r="K46" s="81">
        <f t="shared" si="3"/>
        <v>0</v>
      </c>
      <c r="L46" s="81">
        <f t="shared" si="23"/>
        <v>0</v>
      </c>
      <c r="M46" s="81">
        <f t="shared" si="4"/>
        <v>0</v>
      </c>
      <c r="N46" s="81">
        <f t="shared" si="24"/>
        <v>0</v>
      </c>
      <c r="O46" s="81">
        <f t="shared" si="5"/>
        <v>0</v>
      </c>
      <c r="P46" s="81">
        <f t="shared" si="25"/>
        <v>0</v>
      </c>
      <c r="Q46" s="81">
        <f t="shared" si="6"/>
        <v>0</v>
      </c>
      <c r="R46" s="81">
        <f t="shared" si="26"/>
        <v>0</v>
      </c>
      <c r="S46" s="81">
        <f t="shared" si="7"/>
        <v>0</v>
      </c>
      <c r="T46" s="81">
        <f t="shared" si="27"/>
        <v>0</v>
      </c>
      <c r="U46" s="81">
        <f t="shared" si="8"/>
        <v>0</v>
      </c>
      <c r="V46" s="81">
        <f t="shared" si="28"/>
        <v>0</v>
      </c>
      <c r="W46" s="81">
        <f t="shared" si="9"/>
        <v>0</v>
      </c>
      <c r="X46" s="81">
        <f t="shared" si="29"/>
        <v>0</v>
      </c>
      <c r="Y46" s="81">
        <f t="shared" si="10"/>
        <v>0</v>
      </c>
      <c r="Z46" s="81">
        <f t="shared" si="33"/>
        <v>0</v>
      </c>
      <c r="AA46" s="81">
        <f t="shared" si="12"/>
        <v>0</v>
      </c>
      <c r="AB46" s="81">
        <f t="shared" si="32"/>
        <v>0</v>
      </c>
      <c r="AC46" s="81">
        <f t="shared" si="14"/>
        <v>0</v>
      </c>
      <c r="AD46" s="81">
        <f t="shared" si="30"/>
        <v>0</v>
      </c>
      <c r="AE46" s="81">
        <f t="shared" si="15"/>
        <v>0</v>
      </c>
      <c r="AF46" s="81">
        <f t="shared" si="31"/>
        <v>0</v>
      </c>
      <c r="AG46" s="81">
        <f t="shared" si="16"/>
        <v>0</v>
      </c>
    </row>
    <row r="47" spans="1:33" ht="15.5" x14ac:dyDescent="0.35">
      <c r="A47" s="57">
        <v>35</v>
      </c>
      <c r="B47" s="80">
        <f t="shared" si="17"/>
        <v>0</v>
      </c>
      <c r="C47" s="81">
        <f t="shared" si="18"/>
        <v>0</v>
      </c>
      <c r="D47" s="81">
        <f t="shared" si="19"/>
        <v>0</v>
      </c>
      <c r="E47" s="81">
        <f t="shared" si="0"/>
        <v>0</v>
      </c>
      <c r="F47" s="81">
        <f t="shared" si="20"/>
        <v>0</v>
      </c>
      <c r="G47" s="81">
        <f t="shared" si="1"/>
        <v>0</v>
      </c>
      <c r="H47" s="81">
        <f t="shared" si="21"/>
        <v>0</v>
      </c>
      <c r="I47" s="81">
        <f t="shared" si="2"/>
        <v>0</v>
      </c>
      <c r="J47" s="81">
        <f t="shared" si="22"/>
        <v>0</v>
      </c>
      <c r="K47" s="81">
        <f t="shared" si="3"/>
        <v>0</v>
      </c>
      <c r="L47" s="81">
        <f t="shared" si="23"/>
        <v>0</v>
      </c>
      <c r="M47" s="81">
        <f t="shared" si="4"/>
        <v>0</v>
      </c>
      <c r="N47" s="81">
        <f t="shared" si="24"/>
        <v>0</v>
      </c>
      <c r="O47" s="81">
        <f t="shared" si="5"/>
        <v>0</v>
      </c>
      <c r="P47" s="81">
        <f t="shared" si="25"/>
        <v>0</v>
      </c>
      <c r="Q47" s="81">
        <f t="shared" si="6"/>
        <v>0</v>
      </c>
      <c r="R47" s="81">
        <f t="shared" si="26"/>
        <v>0</v>
      </c>
      <c r="S47" s="81">
        <f t="shared" si="7"/>
        <v>0</v>
      </c>
      <c r="T47" s="81">
        <f t="shared" si="27"/>
        <v>0</v>
      </c>
      <c r="U47" s="81">
        <f t="shared" si="8"/>
        <v>0</v>
      </c>
      <c r="V47" s="81">
        <f t="shared" si="28"/>
        <v>0</v>
      </c>
      <c r="W47" s="81">
        <f t="shared" si="9"/>
        <v>0</v>
      </c>
      <c r="X47" s="81">
        <f t="shared" si="29"/>
        <v>0</v>
      </c>
      <c r="Y47" s="81">
        <f t="shared" si="10"/>
        <v>0</v>
      </c>
      <c r="Z47" s="81">
        <f t="shared" si="33"/>
        <v>0</v>
      </c>
      <c r="AA47" s="81">
        <f t="shared" si="12"/>
        <v>0</v>
      </c>
      <c r="AB47" s="81">
        <f t="shared" si="32"/>
        <v>0</v>
      </c>
      <c r="AC47" s="81">
        <f t="shared" si="14"/>
        <v>0</v>
      </c>
      <c r="AD47" s="81">
        <f t="shared" si="30"/>
        <v>0</v>
      </c>
      <c r="AE47" s="81">
        <f t="shared" si="15"/>
        <v>0</v>
      </c>
      <c r="AF47" s="81">
        <f t="shared" si="31"/>
        <v>0</v>
      </c>
      <c r="AG47" s="81">
        <f t="shared" si="16"/>
        <v>0</v>
      </c>
    </row>
    <row r="48" spans="1:33" ht="15.5" x14ac:dyDescent="0.35">
      <c r="A48" s="57">
        <v>36</v>
      </c>
      <c r="B48" s="80">
        <f t="shared" si="17"/>
        <v>0</v>
      </c>
      <c r="C48" s="81">
        <f t="shared" si="18"/>
        <v>0</v>
      </c>
      <c r="D48" s="81">
        <f t="shared" si="19"/>
        <v>0</v>
      </c>
      <c r="E48" s="81">
        <f t="shared" si="0"/>
        <v>0</v>
      </c>
      <c r="F48" s="81">
        <f t="shared" si="20"/>
        <v>0</v>
      </c>
      <c r="G48" s="81">
        <f t="shared" si="1"/>
        <v>0</v>
      </c>
      <c r="H48" s="81">
        <f t="shared" si="21"/>
        <v>0</v>
      </c>
      <c r="I48" s="81">
        <f t="shared" si="2"/>
        <v>0</v>
      </c>
      <c r="J48" s="81">
        <f t="shared" si="22"/>
        <v>0</v>
      </c>
      <c r="K48" s="81">
        <f t="shared" si="3"/>
        <v>0</v>
      </c>
      <c r="L48" s="81">
        <f t="shared" si="23"/>
        <v>0</v>
      </c>
      <c r="M48" s="81">
        <f t="shared" si="4"/>
        <v>0</v>
      </c>
      <c r="N48" s="81">
        <f t="shared" si="24"/>
        <v>0</v>
      </c>
      <c r="O48" s="81">
        <f t="shared" si="5"/>
        <v>0</v>
      </c>
      <c r="P48" s="81">
        <f t="shared" si="25"/>
        <v>0</v>
      </c>
      <c r="Q48" s="81">
        <f t="shared" si="6"/>
        <v>0</v>
      </c>
      <c r="R48" s="81">
        <f t="shared" si="26"/>
        <v>0</v>
      </c>
      <c r="S48" s="81">
        <f t="shared" si="7"/>
        <v>0</v>
      </c>
      <c r="T48" s="81">
        <f t="shared" si="27"/>
        <v>0</v>
      </c>
      <c r="U48" s="81">
        <f t="shared" si="8"/>
        <v>0</v>
      </c>
      <c r="V48" s="81">
        <f t="shared" si="28"/>
        <v>0</v>
      </c>
      <c r="W48" s="81">
        <f t="shared" si="9"/>
        <v>0</v>
      </c>
      <c r="X48" s="81">
        <f t="shared" si="29"/>
        <v>0</v>
      </c>
      <c r="Y48" s="81">
        <f t="shared" si="10"/>
        <v>0</v>
      </c>
      <c r="Z48" s="81">
        <f t="shared" si="33"/>
        <v>0</v>
      </c>
      <c r="AA48" s="81">
        <f t="shared" si="12"/>
        <v>0</v>
      </c>
      <c r="AB48" s="81">
        <f t="shared" si="32"/>
        <v>0</v>
      </c>
      <c r="AC48" s="81">
        <f t="shared" si="14"/>
        <v>0</v>
      </c>
      <c r="AD48" s="81">
        <f t="shared" si="30"/>
        <v>0</v>
      </c>
      <c r="AE48" s="81">
        <f t="shared" si="15"/>
        <v>0</v>
      </c>
      <c r="AF48" s="81">
        <f t="shared" si="31"/>
        <v>0</v>
      </c>
      <c r="AG48" s="81">
        <f t="shared" si="16"/>
        <v>0</v>
      </c>
    </row>
    <row r="49" spans="1:33" ht="15.5" x14ac:dyDescent="0.35">
      <c r="A49" s="57">
        <v>37</v>
      </c>
      <c r="B49" s="80">
        <f t="shared" si="17"/>
        <v>0</v>
      </c>
      <c r="C49" s="81">
        <f t="shared" si="18"/>
        <v>0</v>
      </c>
      <c r="D49" s="81">
        <f t="shared" si="19"/>
        <v>0</v>
      </c>
      <c r="E49" s="81">
        <f t="shared" si="0"/>
        <v>0</v>
      </c>
      <c r="F49" s="81">
        <f t="shared" si="20"/>
        <v>0</v>
      </c>
      <c r="G49" s="81">
        <f t="shared" si="1"/>
        <v>0</v>
      </c>
      <c r="H49" s="81">
        <f t="shared" si="21"/>
        <v>0</v>
      </c>
      <c r="I49" s="81">
        <f t="shared" si="2"/>
        <v>0</v>
      </c>
      <c r="J49" s="81">
        <f t="shared" si="22"/>
        <v>0</v>
      </c>
      <c r="K49" s="81">
        <f t="shared" si="3"/>
        <v>0</v>
      </c>
      <c r="L49" s="81">
        <f t="shared" si="23"/>
        <v>0</v>
      </c>
      <c r="M49" s="81">
        <f t="shared" si="4"/>
        <v>0</v>
      </c>
      <c r="N49" s="81">
        <f t="shared" si="24"/>
        <v>0</v>
      </c>
      <c r="O49" s="81">
        <f t="shared" si="5"/>
        <v>0</v>
      </c>
      <c r="P49" s="81">
        <f t="shared" si="25"/>
        <v>0</v>
      </c>
      <c r="Q49" s="81">
        <f t="shared" si="6"/>
        <v>0</v>
      </c>
      <c r="R49" s="81">
        <f t="shared" si="26"/>
        <v>0</v>
      </c>
      <c r="S49" s="81">
        <f t="shared" si="7"/>
        <v>0</v>
      </c>
      <c r="T49" s="81">
        <f t="shared" si="27"/>
        <v>0</v>
      </c>
      <c r="U49" s="81">
        <f t="shared" si="8"/>
        <v>0</v>
      </c>
      <c r="V49" s="81">
        <f t="shared" si="28"/>
        <v>0</v>
      </c>
      <c r="W49" s="81">
        <f t="shared" si="9"/>
        <v>0</v>
      </c>
      <c r="X49" s="81">
        <f t="shared" si="29"/>
        <v>0</v>
      </c>
      <c r="Y49" s="81">
        <f t="shared" si="10"/>
        <v>0</v>
      </c>
      <c r="Z49" s="81">
        <f t="shared" si="33"/>
        <v>0</v>
      </c>
      <c r="AA49" s="81">
        <f t="shared" si="12"/>
        <v>0</v>
      </c>
      <c r="AB49" s="81">
        <f t="shared" si="32"/>
        <v>0</v>
      </c>
      <c r="AC49" s="81">
        <f t="shared" si="14"/>
        <v>0</v>
      </c>
      <c r="AD49" s="81">
        <f t="shared" si="30"/>
        <v>0</v>
      </c>
      <c r="AE49" s="81">
        <f t="shared" si="15"/>
        <v>0</v>
      </c>
      <c r="AF49" s="81">
        <f t="shared" si="31"/>
        <v>0</v>
      </c>
      <c r="AG49" s="81">
        <f t="shared" si="16"/>
        <v>0</v>
      </c>
    </row>
    <row r="50" spans="1:33" ht="15.5" x14ac:dyDescent="0.35">
      <c r="A50" s="57">
        <v>38</v>
      </c>
      <c r="B50" s="80">
        <f t="shared" si="17"/>
        <v>0</v>
      </c>
      <c r="C50" s="81">
        <f t="shared" si="18"/>
        <v>0</v>
      </c>
      <c r="D50" s="81">
        <f t="shared" si="19"/>
        <v>0</v>
      </c>
      <c r="E50" s="81">
        <f t="shared" si="0"/>
        <v>0</v>
      </c>
      <c r="F50" s="81">
        <f t="shared" si="20"/>
        <v>0</v>
      </c>
      <c r="G50" s="81">
        <f t="shared" si="1"/>
        <v>0</v>
      </c>
      <c r="H50" s="81">
        <f t="shared" si="21"/>
        <v>0</v>
      </c>
      <c r="I50" s="81">
        <f t="shared" si="2"/>
        <v>0</v>
      </c>
      <c r="J50" s="81">
        <f t="shared" si="22"/>
        <v>0</v>
      </c>
      <c r="K50" s="81">
        <f t="shared" si="3"/>
        <v>0</v>
      </c>
      <c r="L50" s="81">
        <f t="shared" si="23"/>
        <v>0</v>
      </c>
      <c r="M50" s="81">
        <f t="shared" si="4"/>
        <v>0</v>
      </c>
      <c r="N50" s="81">
        <f t="shared" si="24"/>
        <v>0</v>
      </c>
      <c r="O50" s="81">
        <f t="shared" si="5"/>
        <v>0</v>
      </c>
      <c r="P50" s="81">
        <f t="shared" si="25"/>
        <v>0</v>
      </c>
      <c r="Q50" s="81">
        <f t="shared" si="6"/>
        <v>0</v>
      </c>
      <c r="R50" s="81">
        <f t="shared" si="26"/>
        <v>0</v>
      </c>
      <c r="S50" s="81">
        <f t="shared" si="7"/>
        <v>0</v>
      </c>
      <c r="T50" s="81">
        <f t="shared" si="27"/>
        <v>0</v>
      </c>
      <c r="U50" s="81">
        <f t="shared" si="8"/>
        <v>0</v>
      </c>
      <c r="V50" s="81">
        <f t="shared" si="28"/>
        <v>0</v>
      </c>
      <c r="W50" s="81">
        <f t="shared" si="9"/>
        <v>0</v>
      </c>
      <c r="X50" s="81">
        <f t="shared" si="29"/>
        <v>0</v>
      </c>
      <c r="Y50" s="81">
        <f t="shared" si="10"/>
        <v>0</v>
      </c>
      <c r="Z50" s="81">
        <f t="shared" si="33"/>
        <v>0</v>
      </c>
      <c r="AA50" s="81">
        <f t="shared" si="12"/>
        <v>0</v>
      </c>
      <c r="AB50" s="81">
        <f t="shared" si="32"/>
        <v>0</v>
      </c>
      <c r="AC50" s="81">
        <f t="shared" si="14"/>
        <v>0</v>
      </c>
      <c r="AD50" s="81">
        <f t="shared" si="30"/>
        <v>0</v>
      </c>
      <c r="AE50" s="81">
        <f t="shared" si="15"/>
        <v>0</v>
      </c>
      <c r="AF50" s="81">
        <f t="shared" si="31"/>
        <v>0</v>
      </c>
      <c r="AG50" s="81">
        <f t="shared" si="16"/>
        <v>0</v>
      </c>
    </row>
    <row r="51" spans="1:33" ht="15.5" x14ac:dyDescent="0.35">
      <c r="A51" s="57">
        <v>39</v>
      </c>
      <c r="B51" s="80">
        <f t="shared" si="17"/>
        <v>0</v>
      </c>
      <c r="C51" s="81">
        <f t="shared" si="18"/>
        <v>0</v>
      </c>
      <c r="D51" s="81">
        <f t="shared" si="19"/>
        <v>0</v>
      </c>
      <c r="E51" s="81">
        <f t="shared" si="0"/>
        <v>0</v>
      </c>
      <c r="F51" s="81">
        <f t="shared" si="20"/>
        <v>0</v>
      </c>
      <c r="G51" s="81">
        <f t="shared" si="1"/>
        <v>0</v>
      </c>
      <c r="H51" s="81">
        <f t="shared" si="21"/>
        <v>0</v>
      </c>
      <c r="I51" s="81">
        <f t="shared" si="2"/>
        <v>0</v>
      </c>
      <c r="J51" s="81">
        <f t="shared" si="22"/>
        <v>0</v>
      </c>
      <c r="K51" s="81">
        <f t="shared" si="3"/>
        <v>0</v>
      </c>
      <c r="L51" s="81">
        <f t="shared" si="23"/>
        <v>0</v>
      </c>
      <c r="M51" s="81">
        <f t="shared" si="4"/>
        <v>0</v>
      </c>
      <c r="N51" s="81">
        <f t="shared" si="24"/>
        <v>0</v>
      </c>
      <c r="O51" s="81">
        <f t="shared" si="5"/>
        <v>0</v>
      </c>
      <c r="P51" s="81">
        <f t="shared" si="25"/>
        <v>0</v>
      </c>
      <c r="Q51" s="81">
        <f t="shared" si="6"/>
        <v>0</v>
      </c>
      <c r="R51" s="81">
        <f t="shared" si="26"/>
        <v>0</v>
      </c>
      <c r="S51" s="81">
        <f t="shared" si="7"/>
        <v>0</v>
      </c>
      <c r="T51" s="81">
        <f t="shared" si="27"/>
        <v>0</v>
      </c>
      <c r="U51" s="81">
        <f t="shared" si="8"/>
        <v>0</v>
      </c>
      <c r="V51" s="81">
        <f t="shared" si="28"/>
        <v>0</v>
      </c>
      <c r="W51" s="81">
        <f t="shared" si="9"/>
        <v>0</v>
      </c>
      <c r="X51" s="81">
        <f t="shared" si="29"/>
        <v>0</v>
      </c>
      <c r="Y51" s="81">
        <f t="shared" si="10"/>
        <v>0</v>
      </c>
      <c r="Z51" s="81">
        <f t="shared" si="33"/>
        <v>0</v>
      </c>
      <c r="AA51" s="81">
        <f t="shared" si="12"/>
        <v>0</v>
      </c>
      <c r="AB51" s="81">
        <f t="shared" si="32"/>
        <v>0</v>
      </c>
      <c r="AC51" s="81">
        <f t="shared" si="14"/>
        <v>0</v>
      </c>
      <c r="AD51" s="81">
        <f t="shared" si="30"/>
        <v>0</v>
      </c>
      <c r="AE51" s="81">
        <f t="shared" si="15"/>
        <v>0</v>
      </c>
      <c r="AF51" s="81">
        <f t="shared" si="31"/>
        <v>0</v>
      </c>
      <c r="AG51" s="81">
        <f t="shared" si="16"/>
        <v>0</v>
      </c>
    </row>
    <row r="52" spans="1:33" ht="15.5" x14ac:dyDescent="0.35">
      <c r="A52" s="57">
        <v>40</v>
      </c>
      <c r="B52" s="80">
        <f t="shared" si="17"/>
        <v>0</v>
      </c>
      <c r="C52" s="81">
        <f t="shared" si="18"/>
        <v>0</v>
      </c>
      <c r="D52" s="81">
        <f t="shared" si="19"/>
        <v>0</v>
      </c>
      <c r="E52" s="81">
        <f t="shared" si="0"/>
        <v>0</v>
      </c>
      <c r="F52" s="81">
        <f t="shared" si="20"/>
        <v>0</v>
      </c>
      <c r="G52" s="81">
        <f t="shared" si="1"/>
        <v>0</v>
      </c>
      <c r="H52" s="81">
        <f t="shared" si="21"/>
        <v>0</v>
      </c>
      <c r="I52" s="81">
        <f t="shared" si="2"/>
        <v>0</v>
      </c>
      <c r="J52" s="81">
        <f t="shared" si="22"/>
        <v>0</v>
      </c>
      <c r="K52" s="81">
        <f t="shared" si="3"/>
        <v>0</v>
      </c>
      <c r="L52" s="81">
        <f t="shared" si="23"/>
        <v>0</v>
      </c>
      <c r="M52" s="81">
        <f t="shared" si="4"/>
        <v>0</v>
      </c>
      <c r="N52" s="81">
        <f t="shared" si="24"/>
        <v>0</v>
      </c>
      <c r="O52" s="81">
        <f t="shared" si="5"/>
        <v>0</v>
      </c>
      <c r="P52" s="81">
        <f t="shared" si="25"/>
        <v>0</v>
      </c>
      <c r="Q52" s="81">
        <f t="shared" si="6"/>
        <v>0</v>
      </c>
      <c r="R52" s="81">
        <f t="shared" si="26"/>
        <v>0</v>
      </c>
      <c r="S52" s="81">
        <f t="shared" si="7"/>
        <v>0</v>
      </c>
      <c r="T52" s="81">
        <f t="shared" si="27"/>
        <v>0</v>
      </c>
      <c r="U52" s="81">
        <f t="shared" si="8"/>
        <v>0</v>
      </c>
      <c r="V52" s="81">
        <f t="shared" si="28"/>
        <v>0</v>
      </c>
      <c r="W52" s="81">
        <f t="shared" si="9"/>
        <v>0</v>
      </c>
      <c r="X52" s="81">
        <f t="shared" si="29"/>
        <v>0</v>
      </c>
      <c r="Y52" s="81">
        <f t="shared" si="10"/>
        <v>0</v>
      </c>
      <c r="Z52" s="81">
        <f t="shared" si="33"/>
        <v>0</v>
      </c>
      <c r="AA52" s="81">
        <f t="shared" si="12"/>
        <v>0</v>
      </c>
      <c r="AB52" s="81">
        <f t="shared" si="32"/>
        <v>0</v>
      </c>
      <c r="AC52" s="81">
        <f t="shared" si="14"/>
        <v>0</v>
      </c>
      <c r="AD52" s="81">
        <f t="shared" si="30"/>
        <v>0</v>
      </c>
      <c r="AE52" s="81">
        <f t="shared" si="15"/>
        <v>0</v>
      </c>
      <c r="AF52" s="81">
        <f t="shared" si="31"/>
        <v>0</v>
      </c>
      <c r="AG52" s="81">
        <f t="shared" si="16"/>
        <v>0</v>
      </c>
    </row>
    <row r="53" spans="1:33" ht="15.5" x14ac:dyDescent="0.35">
      <c r="A53" s="57">
        <v>41</v>
      </c>
      <c r="B53" s="80">
        <f t="shared" si="17"/>
        <v>0</v>
      </c>
      <c r="C53" s="81">
        <f t="shared" si="18"/>
        <v>0</v>
      </c>
      <c r="D53" s="81">
        <f t="shared" si="19"/>
        <v>0</v>
      </c>
      <c r="E53" s="81">
        <f t="shared" si="0"/>
        <v>0</v>
      </c>
      <c r="F53" s="81">
        <f t="shared" si="20"/>
        <v>0</v>
      </c>
      <c r="G53" s="81">
        <f t="shared" si="1"/>
        <v>0</v>
      </c>
      <c r="H53" s="81">
        <f t="shared" si="21"/>
        <v>0</v>
      </c>
      <c r="I53" s="81">
        <f t="shared" si="2"/>
        <v>0</v>
      </c>
      <c r="J53" s="81">
        <f t="shared" si="22"/>
        <v>0</v>
      </c>
      <c r="K53" s="81">
        <f t="shared" si="3"/>
        <v>0</v>
      </c>
      <c r="L53" s="81">
        <f t="shared" si="23"/>
        <v>0</v>
      </c>
      <c r="M53" s="81">
        <f t="shared" si="4"/>
        <v>0</v>
      </c>
      <c r="N53" s="81">
        <f t="shared" si="24"/>
        <v>0</v>
      </c>
      <c r="O53" s="81">
        <f t="shared" si="5"/>
        <v>0</v>
      </c>
      <c r="P53" s="81">
        <f t="shared" si="25"/>
        <v>0</v>
      </c>
      <c r="Q53" s="81">
        <f t="shared" si="6"/>
        <v>0</v>
      </c>
      <c r="R53" s="81">
        <f t="shared" si="26"/>
        <v>0</v>
      </c>
      <c r="S53" s="81">
        <f t="shared" si="7"/>
        <v>0</v>
      </c>
      <c r="T53" s="81">
        <f t="shared" si="27"/>
        <v>0</v>
      </c>
      <c r="U53" s="81">
        <f t="shared" si="8"/>
        <v>0</v>
      </c>
      <c r="V53" s="81">
        <f t="shared" si="28"/>
        <v>0</v>
      </c>
      <c r="W53" s="81">
        <f t="shared" si="9"/>
        <v>0</v>
      </c>
      <c r="X53" s="81">
        <f t="shared" si="29"/>
        <v>0</v>
      </c>
      <c r="Y53" s="81">
        <f t="shared" si="10"/>
        <v>0</v>
      </c>
      <c r="Z53" s="81">
        <f t="shared" si="33"/>
        <v>0</v>
      </c>
      <c r="AA53" s="81">
        <f t="shared" si="12"/>
        <v>0</v>
      </c>
      <c r="AB53" s="81">
        <f t="shared" si="32"/>
        <v>0</v>
      </c>
      <c r="AC53" s="81">
        <f t="shared" si="14"/>
        <v>0</v>
      </c>
      <c r="AD53" s="81">
        <f t="shared" si="30"/>
        <v>0</v>
      </c>
      <c r="AE53" s="81">
        <f t="shared" si="15"/>
        <v>0</v>
      </c>
      <c r="AF53" s="81">
        <f t="shared" si="31"/>
        <v>0</v>
      </c>
      <c r="AG53" s="81">
        <f t="shared" si="16"/>
        <v>0</v>
      </c>
    </row>
    <row r="54" spans="1:33" ht="15.5" x14ac:dyDescent="0.35">
      <c r="A54" s="57">
        <v>42</v>
      </c>
      <c r="B54" s="80">
        <f t="shared" si="17"/>
        <v>0</v>
      </c>
      <c r="C54" s="81">
        <f t="shared" si="18"/>
        <v>0</v>
      </c>
      <c r="D54" s="81">
        <f t="shared" si="19"/>
        <v>0</v>
      </c>
      <c r="E54" s="81">
        <f t="shared" si="0"/>
        <v>0</v>
      </c>
      <c r="F54" s="81">
        <f t="shared" si="20"/>
        <v>0</v>
      </c>
      <c r="G54" s="81">
        <f t="shared" si="1"/>
        <v>0</v>
      </c>
      <c r="H54" s="81">
        <f t="shared" si="21"/>
        <v>0</v>
      </c>
      <c r="I54" s="81">
        <f t="shared" si="2"/>
        <v>0</v>
      </c>
      <c r="J54" s="81">
        <f t="shared" si="22"/>
        <v>0</v>
      </c>
      <c r="K54" s="81">
        <f t="shared" si="3"/>
        <v>0</v>
      </c>
      <c r="L54" s="81">
        <f t="shared" si="23"/>
        <v>0</v>
      </c>
      <c r="M54" s="81">
        <f t="shared" si="4"/>
        <v>0</v>
      </c>
      <c r="N54" s="81">
        <f t="shared" si="24"/>
        <v>0</v>
      </c>
      <c r="O54" s="81">
        <f t="shared" si="5"/>
        <v>0</v>
      </c>
      <c r="P54" s="81">
        <f t="shared" si="25"/>
        <v>0</v>
      </c>
      <c r="Q54" s="81">
        <f t="shared" si="6"/>
        <v>0</v>
      </c>
      <c r="R54" s="81">
        <f t="shared" si="26"/>
        <v>0</v>
      </c>
      <c r="S54" s="81">
        <f t="shared" si="7"/>
        <v>0</v>
      </c>
      <c r="T54" s="81">
        <f t="shared" si="27"/>
        <v>0</v>
      </c>
      <c r="U54" s="81">
        <f t="shared" si="8"/>
        <v>0</v>
      </c>
      <c r="V54" s="81">
        <f t="shared" si="28"/>
        <v>0</v>
      </c>
      <c r="W54" s="81">
        <f t="shared" si="9"/>
        <v>0</v>
      </c>
      <c r="X54" s="81">
        <f t="shared" si="29"/>
        <v>0</v>
      </c>
      <c r="Y54" s="81">
        <f t="shared" si="10"/>
        <v>0</v>
      </c>
      <c r="Z54" s="81">
        <f t="shared" si="33"/>
        <v>0</v>
      </c>
      <c r="AA54" s="81">
        <f t="shared" si="12"/>
        <v>0</v>
      </c>
      <c r="AB54" s="81">
        <f t="shared" si="32"/>
        <v>0</v>
      </c>
      <c r="AC54" s="81">
        <f t="shared" si="14"/>
        <v>0</v>
      </c>
      <c r="AD54" s="81">
        <f t="shared" si="30"/>
        <v>0</v>
      </c>
      <c r="AE54" s="81">
        <f t="shared" si="15"/>
        <v>0</v>
      </c>
      <c r="AF54" s="81">
        <f t="shared" si="31"/>
        <v>0</v>
      </c>
      <c r="AG54" s="81">
        <f t="shared" si="16"/>
        <v>0</v>
      </c>
    </row>
    <row r="55" spans="1:33" ht="15.5" x14ac:dyDescent="0.35">
      <c r="A55" s="57">
        <v>43</v>
      </c>
      <c r="B55" s="80">
        <f t="shared" si="17"/>
        <v>0</v>
      </c>
      <c r="C55" s="81">
        <f t="shared" si="18"/>
        <v>0</v>
      </c>
      <c r="D55" s="81">
        <f t="shared" si="19"/>
        <v>0</v>
      </c>
      <c r="E55" s="81">
        <f t="shared" si="0"/>
        <v>0</v>
      </c>
      <c r="F55" s="81">
        <f t="shared" si="20"/>
        <v>0</v>
      </c>
      <c r="G55" s="81">
        <f t="shared" si="1"/>
        <v>0</v>
      </c>
      <c r="H55" s="81">
        <f t="shared" si="21"/>
        <v>0</v>
      </c>
      <c r="I55" s="81">
        <f t="shared" si="2"/>
        <v>0</v>
      </c>
      <c r="J55" s="81">
        <f t="shared" si="22"/>
        <v>0</v>
      </c>
      <c r="K55" s="81">
        <f t="shared" si="3"/>
        <v>0</v>
      </c>
      <c r="L55" s="81">
        <f t="shared" si="23"/>
        <v>0</v>
      </c>
      <c r="M55" s="81">
        <f t="shared" si="4"/>
        <v>0</v>
      </c>
      <c r="N55" s="81">
        <f t="shared" si="24"/>
        <v>0</v>
      </c>
      <c r="O55" s="81">
        <f t="shared" si="5"/>
        <v>0</v>
      </c>
      <c r="P55" s="81">
        <f t="shared" si="25"/>
        <v>0</v>
      </c>
      <c r="Q55" s="81">
        <f t="shared" si="6"/>
        <v>0</v>
      </c>
      <c r="R55" s="81">
        <f t="shared" si="26"/>
        <v>0</v>
      </c>
      <c r="S55" s="81">
        <f t="shared" si="7"/>
        <v>0</v>
      </c>
      <c r="T55" s="81">
        <f t="shared" si="27"/>
        <v>0</v>
      </c>
      <c r="U55" s="81">
        <f t="shared" si="8"/>
        <v>0</v>
      </c>
      <c r="V55" s="81">
        <f t="shared" si="28"/>
        <v>0</v>
      </c>
      <c r="W55" s="81">
        <f t="shared" si="9"/>
        <v>0</v>
      </c>
      <c r="X55" s="81">
        <f t="shared" si="29"/>
        <v>0</v>
      </c>
      <c r="Y55" s="81">
        <f t="shared" si="10"/>
        <v>0</v>
      </c>
      <c r="Z55" s="81">
        <f t="shared" si="33"/>
        <v>0</v>
      </c>
      <c r="AA55" s="81">
        <f t="shared" si="12"/>
        <v>0</v>
      </c>
      <c r="AB55" s="81">
        <f t="shared" si="32"/>
        <v>0</v>
      </c>
      <c r="AC55" s="81">
        <f t="shared" si="14"/>
        <v>0</v>
      </c>
      <c r="AD55" s="81">
        <f t="shared" si="30"/>
        <v>0</v>
      </c>
      <c r="AE55" s="81">
        <f t="shared" si="15"/>
        <v>0</v>
      </c>
      <c r="AF55" s="81">
        <f t="shared" si="31"/>
        <v>0</v>
      </c>
      <c r="AG55" s="81">
        <f t="shared" si="16"/>
        <v>0</v>
      </c>
    </row>
    <row r="56" spans="1:33" ht="15.5" x14ac:dyDescent="0.35">
      <c r="A56" s="57">
        <v>44</v>
      </c>
      <c r="B56" s="80">
        <f t="shared" si="17"/>
        <v>0</v>
      </c>
      <c r="C56" s="81">
        <f t="shared" si="18"/>
        <v>0</v>
      </c>
      <c r="D56" s="81">
        <f t="shared" si="19"/>
        <v>0</v>
      </c>
      <c r="E56" s="81">
        <f t="shared" si="0"/>
        <v>0</v>
      </c>
      <c r="F56" s="81">
        <f t="shared" si="20"/>
        <v>0</v>
      </c>
      <c r="G56" s="81">
        <f t="shared" si="1"/>
        <v>0</v>
      </c>
      <c r="H56" s="81">
        <f t="shared" si="21"/>
        <v>0</v>
      </c>
      <c r="I56" s="81">
        <f t="shared" si="2"/>
        <v>0</v>
      </c>
      <c r="J56" s="81">
        <f t="shared" si="22"/>
        <v>0</v>
      </c>
      <c r="K56" s="81">
        <f t="shared" si="3"/>
        <v>0</v>
      </c>
      <c r="L56" s="81">
        <f t="shared" si="23"/>
        <v>0</v>
      </c>
      <c r="M56" s="81">
        <f t="shared" si="4"/>
        <v>0</v>
      </c>
      <c r="N56" s="81">
        <f t="shared" si="24"/>
        <v>0</v>
      </c>
      <c r="O56" s="81">
        <f t="shared" si="5"/>
        <v>0</v>
      </c>
      <c r="P56" s="81">
        <f t="shared" si="25"/>
        <v>0</v>
      </c>
      <c r="Q56" s="81">
        <f t="shared" si="6"/>
        <v>0</v>
      </c>
      <c r="R56" s="81">
        <f t="shared" si="26"/>
        <v>0</v>
      </c>
      <c r="S56" s="81">
        <f t="shared" si="7"/>
        <v>0</v>
      </c>
      <c r="T56" s="81">
        <f t="shared" si="27"/>
        <v>0</v>
      </c>
      <c r="U56" s="81">
        <f t="shared" si="8"/>
        <v>0</v>
      </c>
      <c r="V56" s="81">
        <f t="shared" si="28"/>
        <v>0</v>
      </c>
      <c r="W56" s="81">
        <f t="shared" si="9"/>
        <v>0</v>
      </c>
      <c r="X56" s="81">
        <f t="shared" si="29"/>
        <v>0</v>
      </c>
      <c r="Y56" s="81">
        <f t="shared" si="10"/>
        <v>0</v>
      </c>
      <c r="Z56" s="81">
        <f t="shared" si="33"/>
        <v>0</v>
      </c>
      <c r="AA56" s="81">
        <f t="shared" si="12"/>
        <v>0</v>
      </c>
      <c r="AB56" s="81">
        <f t="shared" si="32"/>
        <v>0</v>
      </c>
      <c r="AC56" s="81">
        <f t="shared" si="14"/>
        <v>0</v>
      </c>
      <c r="AD56" s="81">
        <f t="shared" si="30"/>
        <v>0</v>
      </c>
      <c r="AE56" s="81">
        <f t="shared" si="15"/>
        <v>0</v>
      </c>
      <c r="AF56" s="81">
        <f t="shared" si="31"/>
        <v>0</v>
      </c>
      <c r="AG56" s="81">
        <f t="shared" si="16"/>
        <v>0</v>
      </c>
    </row>
    <row r="57" spans="1:33" ht="15.5" x14ac:dyDescent="0.35">
      <c r="A57" s="57">
        <v>45</v>
      </c>
      <c r="B57" s="80">
        <f t="shared" si="17"/>
        <v>0</v>
      </c>
      <c r="C57" s="81">
        <f t="shared" si="18"/>
        <v>0</v>
      </c>
      <c r="D57" s="81">
        <f t="shared" si="19"/>
        <v>0</v>
      </c>
      <c r="E57" s="81">
        <f t="shared" si="0"/>
        <v>0</v>
      </c>
      <c r="F57" s="81">
        <f t="shared" si="20"/>
        <v>0</v>
      </c>
      <c r="G57" s="81">
        <f t="shared" si="1"/>
        <v>0</v>
      </c>
      <c r="H57" s="81">
        <f t="shared" si="21"/>
        <v>0</v>
      </c>
      <c r="I57" s="81">
        <f t="shared" si="2"/>
        <v>0</v>
      </c>
      <c r="J57" s="81">
        <f t="shared" si="22"/>
        <v>0</v>
      </c>
      <c r="K57" s="81">
        <f t="shared" si="3"/>
        <v>0</v>
      </c>
      <c r="L57" s="81">
        <f t="shared" si="23"/>
        <v>0</v>
      </c>
      <c r="M57" s="81">
        <f t="shared" si="4"/>
        <v>0</v>
      </c>
      <c r="N57" s="81">
        <f t="shared" si="24"/>
        <v>0</v>
      </c>
      <c r="O57" s="81">
        <f t="shared" si="5"/>
        <v>0</v>
      </c>
      <c r="P57" s="81">
        <f t="shared" si="25"/>
        <v>0</v>
      </c>
      <c r="Q57" s="81">
        <f t="shared" si="6"/>
        <v>0</v>
      </c>
      <c r="R57" s="81">
        <f t="shared" si="26"/>
        <v>0</v>
      </c>
      <c r="S57" s="81">
        <f t="shared" si="7"/>
        <v>0</v>
      </c>
      <c r="T57" s="81">
        <f t="shared" si="27"/>
        <v>0</v>
      </c>
      <c r="U57" s="81">
        <f t="shared" si="8"/>
        <v>0</v>
      </c>
      <c r="V57" s="81">
        <f t="shared" si="28"/>
        <v>0</v>
      </c>
      <c r="W57" s="81">
        <f t="shared" si="9"/>
        <v>0</v>
      </c>
      <c r="X57" s="81">
        <f t="shared" si="29"/>
        <v>0</v>
      </c>
      <c r="Y57" s="81">
        <f t="shared" si="10"/>
        <v>0</v>
      </c>
      <c r="Z57" s="81">
        <f t="shared" si="33"/>
        <v>0</v>
      </c>
      <c r="AA57" s="81">
        <f t="shared" si="12"/>
        <v>0</v>
      </c>
      <c r="AB57" s="81">
        <f t="shared" si="32"/>
        <v>0</v>
      </c>
      <c r="AC57" s="81">
        <f t="shared" si="14"/>
        <v>0</v>
      </c>
      <c r="AD57" s="81">
        <f t="shared" si="30"/>
        <v>0</v>
      </c>
      <c r="AE57" s="81">
        <f t="shared" si="15"/>
        <v>0</v>
      </c>
      <c r="AF57" s="81">
        <f t="shared" si="31"/>
        <v>0</v>
      </c>
      <c r="AG57" s="81">
        <f t="shared" si="16"/>
        <v>0</v>
      </c>
    </row>
    <row r="58" spans="1:33" ht="15.5" x14ac:dyDescent="0.35">
      <c r="A58" s="57">
        <v>46</v>
      </c>
      <c r="B58" s="80">
        <f t="shared" si="17"/>
        <v>0</v>
      </c>
      <c r="C58" s="81">
        <f t="shared" si="18"/>
        <v>0</v>
      </c>
      <c r="D58" s="81">
        <f t="shared" si="19"/>
        <v>0</v>
      </c>
      <c r="E58" s="81">
        <f t="shared" si="0"/>
        <v>0</v>
      </c>
      <c r="F58" s="81">
        <f t="shared" si="20"/>
        <v>0</v>
      </c>
      <c r="G58" s="81">
        <f t="shared" si="1"/>
        <v>0</v>
      </c>
      <c r="H58" s="81">
        <f t="shared" si="21"/>
        <v>0</v>
      </c>
      <c r="I58" s="81">
        <f t="shared" si="2"/>
        <v>0</v>
      </c>
      <c r="J58" s="81">
        <f t="shared" si="22"/>
        <v>0</v>
      </c>
      <c r="K58" s="81">
        <f t="shared" si="3"/>
        <v>0</v>
      </c>
      <c r="L58" s="81">
        <f t="shared" si="23"/>
        <v>0</v>
      </c>
      <c r="M58" s="81">
        <f t="shared" si="4"/>
        <v>0</v>
      </c>
      <c r="N58" s="81">
        <f t="shared" si="24"/>
        <v>0</v>
      </c>
      <c r="O58" s="81">
        <f t="shared" si="5"/>
        <v>0</v>
      </c>
      <c r="P58" s="81">
        <f t="shared" si="25"/>
        <v>0</v>
      </c>
      <c r="Q58" s="81">
        <f t="shared" si="6"/>
        <v>0</v>
      </c>
      <c r="R58" s="81">
        <f t="shared" si="26"/>
        <v>0</v>
      </c>
      <c r="S58" s="81">
        <f t="shared" si="7"/>
        <v>0</v>
      </c>
      <c r="T58" s="81">
        <f t="shared" si="27"/>
        <v>0</v>
      </c>
      <c r="U58" s="81">
        <f t="shared" si="8"/>
        <v>0</v>
      </c>
      <c r="V58" s="81">
        <f t="shared" si="28"/>
        <v>0</v>
      </c>
      <c r="W58" s="81">
        <f t="shared" si="9"/>
        <v>0</v>
      </c>
      <c r="X58" s="81">
        <f t="shared" si="29"/>
        <v>0</v>
      </c>
      <c r="Y58" s="81">
        <f t="shared" si="10"/>
        <v>0</v>
      </c>
      <c r="Z58" s="81">
        <f t="shared" si="33"/>
        <v>0</v>
      </c>
      <c r="AA58" s="81">
        <f t="shared" si="12"/>
        <v>0</v>
      </c>
      <c r="AB58" s="81">
        <f t="shared" si="32"/>
        <v>0</v>
      </c>
      <c r="AC58" s="81">
        <f t="shared" si="14"/>
        <v>0</v>
      </c>
      <c r="AD58" s="81">
        <f t="shared" si="30"/>
        <v>0</v>
      </c>
      <c r="AE58" s="81">
        <f t="shared" si="15"/>
        <v>0</v>
      </c>
      <c r="AF58" s="81">
        <f t="shared" si="31"/>
        <v>0</v>
      </c>
      <c r="AG58" s="81">
        <f t="shared" si="16"/>
        <v>0</v>
      </c>
    </row>
    <row r="59" spans="1:33" ht="15.5" x14ac:dyDescent="0.35">
      <c r="A59" s="57">
        <v>47</v>
      </c>
      <c r="B59" s="80">
        <f t="shared" si="17"/>
        <v>0</v>
      </c>
      <c r="C59" s="81">
        <f t="shared" si="18"/>
        <v>0</v>
      </c>
      <c r="D59" s="81">
        <f t="shared" si="19"/>
        <v>0</v>
      </c>
      <c r="E59" s="81">
        <f t="shared" si="0"/>
        <v>0</v>
      </c>
      <c r="F59" s="81">
        <f t="shared" si="20"/>
        <v>0</v>
      </c>
      <c r="G59" s="81">
        <f t="shared" si="1"/>
        <v>0</v>
      </c>
      <c r="H59" s="81">
        <f t="shared" si="21"/>
        <v>0</v>
      </c>
      <c r="I59" s="81">
        <f t="shared" si="2"/>
        <v>0</v>
      </c>
      <c r="J59" s="81">
        <f t="shared" si="22"/>
        <v>0</v>
      </c>
      <c r="K59" s="81">
        <f t="shared" si="3"/>
        <v>0</v>
      </c>
      <c r="L59" s="81">
        <f t="shared" si="23"/>
        <v>0</v>
      </c>
      <c r="M59" s="81">
        <f t="shared" si="4"/>
        <v>0</v>
      </c>
      <c r="N59" s="81">
        <f t="shared" si="24"/>
        <v>0</v>
      </c>
      <c r="O59" s="81">
        <f t="shared" si="5"/>
        <v>0</v>
      </c>
      <c r="P59" s="81">
        <f t="shared" si="25"/>
        <v>0</v>
      </c>
      <c r="Q59" s="81">
        <f t="shared" si="6"/>
        <v>0</v>
      </c>
      <c r="R59" s="81">
        <f t="shared" si="26"/>
        <v>0</v>
      </c>
      <c r="S59" s="81">
        <f t="shared" si="7"/>
        <v>0</v>
      </c>
      <c r="T59" s="81">
        <f t="shared" si="27"/>
        <v>0</v>
      </c>
      <c r="U59" s="81">
        <f t="shared" si="8"/>
        <v>0</v>
      </c>
      <c r="V59" s="81">
        <f t="shared" si="28"/>
        <v>0</v>
      </c>
      <c r="W59" s="81">
        <f t="shared" si="9"/>
        <v>0</v>
      </c>
      <c r="X59" s="81">
        <f t="shared" si="29"/>
        <v>0</v>
      </c>
      <c r="Y59" s="81">
        <f t="shared" si="10"/>
        <v>0</v>
      </c>
      <c r="Z59" s="81">
        <f t="shared" si="33"/>
        <v>0</v>
      </c>
      <c r="AA59" s="81">
        <f t="shared" si="12"/>
        <v>0</v>
      </c>
      <c r="AB59" s="81">
        <f t="shared" si="32"/>
        <v>0</v>
      </c>
      <c r="AC59" s="81">
        <f t="shared" si="14"/>
        <v>0</v>
      </c>
      <c r="AD59" s="81">
        <f t="shared" si="30"/>
        <v>0</v>
      </c>
      <c r="AE59" s="81">
        <f t="shared" si="15"/>
        <v>0</v>
      </c>
      <c r="AF59" s="81">
        <f t="shared" si="31"/>
        <v>0</v>
      </c>
      <c r="AG59" s="81">
        <f t="shared" si="16"/>
        <v>0</v>
      </c>
    </row>
    <row r="60" spans="1:33" ht="15.5" x14ac:dyDescent="0.35">
      <c r="A60" s="57">
        <v>48</v>
      </c>
      <c r="B60" s="80">
        <f t="shared" si="17"/>
        <v>0</v>
      </c>
      <c r="C60" s="81">
        <f t="shared" si="18"/>
        <v>0</v>
      </c>
      <c r="D60" s="81">
        <f t="shared" si="19"/>
        <v>0</v>
      </c>
      <c r="E60" s="81">
        <f t="shared" si="0"/>
        <v>0</v>
      </c>
      <c r="F60" s="81">
        <f t="shared" si="20"/>
        <v>0</v>
      </c>
      <c r="G60" s="81">
        <f t="shared" si="1"/>
        <v>0</v>
      </c>
      <c r="H60" s="81">
        <f t="shared" si="21"/>
        <v>0</v>
      </c>
      <c r="I60" s="81">
        <f t="shared" si="2"/>
        <v>0</v>
      </c>
      <c r="J60" s="81">
        <f t="shared" si="22"/>
        <v>0</v>
      </c>
      <c r="K60" s="81">
        <f t="shared" si="3"/>
        <v>0</v>
      </c>
      <c r="L60" s="81">
        <f t="shared" si="23"/>
        <v>0</v>
      </c>
      <c r="M60" s="81">
        <f t="shared" si="4"/>
        <v>0</v>
      </c>
      <c r="N60" s="81">
        <f t="shared" si="24"/>
        <v>0</v>
      </c>
      <c r="O60" s="81">
        <f t="shared" si="5"/>
        <v>0</v>
      </c>
      <c r="P60" s="81">
        <f t="shared" si="25"/>
        <v>0</v>
      </c>
      <c r="Q60" s="81">
        <f t="shared" si="6"/>
        <v>0</v>
      </c>
      <c r="R60" s="81">
        <f t="shared" si="26"/>
        <v>0</v>
      </c>
      <c r="S60" s="81">
        <f t="shared" si="7"/>
        <v>0</v>
      </c>
      <c r="T60" s="81">
        <f t="shared" si="27"/>
        <v>0</v>
      </c>
      <c r="U60" s="81">
        <f t="shared" si="8"/>
        <v>0</v>
      </c>
      <c r="V60" s="81">
        <f t="shared" si="28"/>
        <v>0</v>
      </c>
      <c r="W60" s="81">
        <f t="shared" si="9"/>
        <v>0</v>
      </c>
      <c r="X60" s="81">
        <f t="shared" si="29"/>
        <v>0</v>
      </c>
      <c r="Y60" s="81">
        <f t="shared" si="10"/>
        <v>0</v>
      </c>
      <c r="Z60" s="81">
        <f t="shared" si="33"/>
        <v>0</v>
      </c>
      <c r="AA60" s="81">
        <f t="shared" si="12"/>
        <v>0</v>
      </c>
      <c r="AB60" s="81">
        <f t="shared" si="32"/>
        <v>0</v>
      </c>
      <c r="AC60" s="81">
        <f t="shared" si="14"/>
        <v>0</v>
      </c>
      <c r="AD60" s="81">
        <f t="shared" si="30"/>
        <v>0</v>
      </c>
      <c r="AE60" s="81">
        <f t="shared" si="15"/>
        <v>0</v>
      </c>
      <c r="AF60" s="81">
        <f t="shared" si="31"/>
        <v>0</v>
      </c>
      <c r="AG60" s="81">
        <f t="shared" si="16"/>
        <v>0</v>
      </c>
    </row>
    <row r="61" spans="1:33" ht="15.5" x14ac:dyDescent="0.35">
      <c r="A61" s="57">
        <v>49</v>
      </c>
      <c r="B61" s="80">
        <f t="shared" si="17"/>
        <v>0</v>
      </c>
      <c r="C61" s="81">
        <f t="shared" si="18"/>
        <v>0</v>
      </c>
      <c r="D61" s="81">
        <f t="shared" si="19"/>
        <v>0</v>
      </c>
      <c r="E61" s="81">
        <f t="shared" si="0"/>
        <v>0</v>
      </c>
      <c r="F61" s="81">
        <f t="shared" si="20"/>
        <v>0</v>
      </c>
      <c r="G61" s="81">
        <f t="shared" si="1"/>
        <v>0</v>
      </c>
      <c r="H61" s="81">
        <f t="shared" si="21"/>
        <v>0</v>
      </c>
      <c r="I61" s="81">
        <f t="shared" si="2"/>
        <v>0</v>
      </c>
      <c r="J61" s="81">
        <f t="shared" si="22"/>
        <v>0</v>
      </c>
      <c r="K61" s="81">
        <f t="shared" si="3"/>
        <v>0</v>
      </c>
      <c r="L61" s="81">
        <f t="shared" si="23"/>
        <v>0</v>
      </c>
      <c r="M61" s="81">
        <f t="shared" si="4"/>
        <v>0</v>
      </c>
      <c r="N61" s="81">
        <f t="shared" si="24"/>
        <v>0</v>
      </c>
      <c r="O61" s="81">
        <f t="shared" si="5"/>
        <v>0</v>
      </c>
      <c r="P61" s="81">
        <f t="shared" si="25"/>
        <v>0</v>
      </c>
      <c r="Q61" s="81">
        <f t="shared" si="6"/>
        <v>0</v>
      </c>
      <c r="R61" s="81">
        <f t="shared" si="26"/>
        <v>0</v>
      </c>
      <c r="S61" s="81">
        <f t="shared" si="7"/>
        <v>0</v>
      </c>
      <c r="T61" s="81">
        <f t="shared" si="27"/>
        <v>0</v>
      </c>
      <c r="U61" s="81">
        <f t="shared" si="8"/>
        <v>0</v>
      </c>
      <c r="V61" s="81">
        <f t="shared" si="28"/>
        <v>0</v>
      </c>
      <c r="W61" s="81">
        <f t="shared" si="9"/>
        <v>0</v>
      </c>
      <c r="X61" s="81">
        <f t="shared" si="29"/>
        <v>0</v>
      </c>
      <c r="Y61" s="81">
        <f t="shared" si="10"/>
        <v>0</v>
      </c>
      <c r="Z61" s="81">
        <f t="shared" si="33"/>
        <v>0</v>
      </c>
      <c r="AA61" s="81">
        <f t="shared" si="12"/>
        <v>0</v>
      </c>
      <c r="AB61" s="81">
        <f t="shared" si="32"/>
        <v>0</v>
      </c>
      <c r="AC61" s="81">
        <f t="shared" si="14"/>
        <v>0</v>
      </c>
      <c r="AD61" s="81">
        <f t="shared" si="30"/>
        <v>0</v>
      </c>
      <c r="AE61" s="81">
        <f t="shared" si="15"/>
        <v>0</v>
      </c>
      <c r="AF61" s="81">
        <f t="shared" si="31"/>
        <v>0</v>
      </c>
      <c r="AG61" s="81">
        <f t="shared" si="16"/>
        <v>0</v>
      </c>
    </row>
    <row r="62" spans="1:33" ht="15.5" x14ac:dyDescent="0.35">
      <c r="A62" s="57">
        <v>50</v>
      </c>
      <c r="B62" s="80">
        <f t="shared" si="17"/>
        <v>0</v>
      </c>
      <c r="C62" s="81">
        <f t="shared" si="18"/>
        <v>0</v>
      </c>
      <c r="D62" s="81">
        <f t="shared" si="19"/>
        <v>0</v>
      </c>
      <c r="E62" s="81">
        <f t="shared" si="0"/>
        <v>0</v>
      </c>
      <c r="F62" s="81">
        <f t="shared" si="20"/>
        <v>0</v>
      </c>
      <c r="G62" s="81">
        <f t="shared" si="1"/>
        <v>0</v>
      </c>
      <c r="H62" s="81">
        <f t="shared" si="21"/>
        <v>0</v>
      </c>
      <c r="I62" s="81">
        <f t="shared" si="2"/>
        <v>0</v>
      </c>
      <c r="J62" s="81">
        <f t="shared" si="22"/>
        <v>0</v>
      </c>
      <c r="K62" s="81">
        <f t="shared" si="3"/>
        <v>0</v>
      </c>
      <c r="L62" s="81">
        <f t="shared" si="23"/>
        <v>0</v>
      </c>
      <c r="M62" s="81">
        <f t="shared" si="4"/>
        <v>0</v>
      </c>
      <c r="N62" s="81">
        <f t="shared" si="24"/>
        <v>0</v>
      </c>
      <c r="O62" s="81">
        <f t="shared" si="5"/>
        <v>0</v>
      </c>
      <c r="P62" s="81">
        <f t="shared" si="25"/>
        <v>0</v>
      </c>
      <c r="Q62" s="81">
        <f t="shared" si="6"/>
        <v>0</v>
      </c>
      <c r="R62" s="81">
        <f t="shared" si="26"/>
        <v>0</v>
      </c>
      <c r="S62" s="81">
        <f t="shared" si="7"/>
        <v>0</v>
      </c>
      <c r="T62" s="81">
        <f t="shared" si="27"/>
        <v>0</v>
      </c>
      <c r="U62" s="81">
        <f t="shared" si="8"/>
        <v>0</v>
      </c>
      <c r="V62" s="81">
        <f t="shared" si="28"/>
        <v>0</v>
      </c>
      <c r="W62" s="81">
        <f t="shared" si="9"/>
        <v>0</v>
      </c>
      <c r="X62" s="81">
        <f t="shared" si="29"/>
        <v>0</v>
      </c>
      <c r="Y62" s="81">
        <f t="shared" si="10"/>
        <v>0</v>
      </c>
      <c r="Z62" s="81">
        <f t="shared" si="33"/>
        <v>0</v>
      </c>
      <c r="AA62" s="81">
        <f t="shared" si="12"/>
        <v>0</v>
      </c>
      <c r="AB62" s="81">
        <f t="shared" si="32"/>
        <v>0</v>
      </c>
      <c r="AC62" s="81">
        <f t="shared" si="14"/>
        <v>0</v>
      </c>
      <c r="AD62" s="81">
        <f t="shared" si="30"/>
        <v>0</v>
      </c>
      <c r="AE62" s="81">
        <f t="shared" si="15"/>
        <v>0</v>
      </c>
      <c r="AF62" s="81">
        <f t="shared" si="31"/>
        <v>0</v>
      </c>
      <c r="AG62" s="81">
        <f t="shared" si="16"/>
        <v>0</v>
      </c>
    </row>
    <row r="63" spans="1:33" ht="15.5" x14ac:dyDescent="0.35">
      <c r="A63" s="57">
        <v>51</v>
      </c>
      <c r="B63" s="80">
        <f t="shared" si="17"/>
        <v>0</v>
      </c>
      <c r="C63" s="81">
        <f t="shared" si="18"/>
        <v>0</v>
      </c>
      <c r="D63" s="81">
        <f t="shared" si="19"/>
        <v>0</v>
      </c>
      <c r="E63" s="81">
        <f t="shared" si="0"/>
        <v>0</v>
      </c>
      <c r="F63" s="81">
        <f t="shared" si="20"/>
        <v>0</v>
      </c>
      <c r="G63" s="81">
        <f t="shared" si="1"/>
        <v>0</v>
      </c>
      <c r="H63" s="81">
        <f t="shared" si="21"/>
        <v>0</v>
      </c>
      <c r="I63" s="81">
        <f t="shared" si="2"/>
        <v>0</v>
      </c>
      <c r="J63" s="81">
        <f t="shared" si="22"/>
        <v>0</v>
      </c>
      <c r="K63" s="81">
        <f t="shared" si="3"/>
        <v>0</v>
      </c>
      <c r="L63" s="81">
        <f t="shared" si="23"/>
        <v>0</v>
      </c>
      <c r="M63" s="81">
        <f t="shared" si="4"/>
        <v>0</v>
      </c>
      <c r="N63" s="81">
        <f t="shared" si="24"/>
        <v>0</v>
      </c>
      <c r="O63" s="81">
        <f t="shared" si="5"/>
        <v>0</v>
      </c>
      <c r="P63" s="81">
        <f t="shared" si="25"/>
        <v>0</v>
      </c>
      <c r="Q63" s="81">
        <f t="shared" si="6"/>
        <v>0</v>
      </c>
      <c r="R63" s="81">
        <f t="shared" si="26"/>
        <v>0</v>
      </c>
      <c r="S63" s="81">
        <f t="shared" si="7"/>
        <v>0</v>
      </c>
      <c r="T63" s="81">
        <f t="shared" si="27"/>
        <v>0</v>
      </c>
      <c r="U63" s="81">
        <f t="shared" si="8"/>
        <v>0</v>
      </c>
      <c r="V63" s="81">
        <f t="shared" si="28"/>
        <v>0</v>
      </c>
      <c r="W63" s="81">
        <f t="shared" si="9"/>
        <v>0</v>
      </c>
      <c r="X63" s="81">
        <f t="shared" si="29"/>
        <v>0</v>
      </c>
      <c r="Y63" s="81">
        <f t="shared" si="10"/>
        <v>0</v>
      </c>
      <c r="Z63" s="81">
        <f t="shared" si="33"/>
        <v>0</v>
      </c>
      <c r="AA63" s="81">
        <f t="shared" si="12"/>
        <v>0</v>
      </c>
      <c r="AB63" s="81">
        <f t="shared" si="32"/>
        <v>0</v>
      </c>
      <c r="AC63" s="81">
        <f t="shared" si="14"/>
        <v>0</v>
      </c>
      <c r="AD63" s="81">
        <f t="shared" si="30"/>
        <v>0</v>
      </c>
      <c r="AE63" s="81">
        <f t="shared" si="15"/>
        <v>0</v>
      </c>
      <c r="AF63" s="81">
        <f t="shared" si="31"/>
        <v>0</v>
      </c>
      <c r="AG63" s="81">
        <f t="shared" si="16"/>
        <v>0</v>
      </c>
    </row>
    <row r="64" spans="1:33" ht="15.5" x14ac:dyDescent="0.35">
      <c r="A64" s="57">
        <v>52</v>
      </c>
      <c r="B64" s="80">
        <f t="shared" si="17"/>
        <v>0</v>
      </c>
      <c r="C64" s="81">
        <f t="shared" si="18"/>
        <v>0</v>
      </c>
      <c r="D64" s="81">
        <f t="shared" si="19"/>
        <v>0</v>
      </c>
      <c r="E64" s="81">
        <f t="shared" si="0"/>
        <v>0</v>
      </c>
      <c r="F64" s="81">
        <f t="shared" si="20"/>
        <v>0</v>
      </c>
      <c r="G64" s="81">
        <f t="shared" si="1"/>
        <v>0</v>
      </c>
      <c r="H64" s="81">
        <f t="shared" si="21"/>
        <v>0</v>
      </c>
      <c r="I64" s="81">
        <f t="shared" si="2"/>
        <v>0</v>
      </c>
      <c r="J64" s="81">
        <f t="shared" si="22"/>
        <v>0</v>
      </c>
      <c r="K64" s="81">
        <f t="shared" si="3"/>
        <v>0</v>
      </c>
      <c r="L64" s="81">
        <f t="shared" si="23"/>
        <v>0</v>
      </c>
      <c r="M64" s="81">
        <f t="shared" si="4"/>
        <v>0</v>
      </c>
      <c r="N64" s="81">
        <f t="shared" si="24"/>
        <v>0</v>
      </c>
      <c r="O64" s="81">
        <f t="shared" si="5"/>
        <v>0</v>
      </c>
      <c r="P64" s="81">
        <f t="shared" si="25"/>
        <v>0</v>
      </c>
      <c r="Q64" s="81">
        <f t="shared" si="6"/>
        <v>0</v>
      </c>
      <c r="R64" s="81">
        <f t="shared" si="26"/>
        <v>0</v>
      </c>
      <c r="S64" s="81">
        <f t="shared" si="7"/>
        <v>0</v>
      </c>
      <c r="T64" s="81">
        <f t="shared" si="27"/>
        <v>0</v>
      </c>
      <c r="U64" s="81">
        <f t="shared" si="8"/>
        <v>0</v>
      </c>
      <c r="V64" s="81">
        <f t="shared" si="28"/>
        <v>0</v>
      </c>
      <c r="W64" s="81">
        <f t="shared" si="9"/>
        <v>0</v>
      </c>
      <c r="X64" s="81">
        <f t="shared" si="29"/>
        <v>0</v>
      </c>
      <c r="Y64" s="81">
        <f t="shared" si="10"/>
        <v>0</v>
      </c>
      <c r="Z64" s="81">
        <f t="shared" si="33"/>
        <v>0</v>
      </c>
      <c r="AA64" s="81">
        <f t="shared" si="12"/>
        <v>0</v>
      </c>
      <c r="AB64" s="81">
        <f t="shared" si="32"/>
        <v>0</v>
      </c>
      <c r="AC64" s="81">
        <f t="shared" si="14"/>
        <v>0</v>
      </c>
      <c r="AD64" s="81">
        <f t="shared" si="30"/>
        <v>0</v>
      </c>
      <c r="AE64" s="81">
        <f t="shared" si="15"/>
        <v>0</v>
      </c>
      <c r="AF64" s="81">
        <f t="shared" si="31"/>
        <v>0</v>
      </c>
      <c r="AG64" s="81">
        <f t="shared" si="16"/>
        <v>0</v>
      </c>
    </row>
    <row r="65" spans="1:33" ht="15.5" x14ac:dyDescent="0.35">
      <c r="A65" s="57">
        <v>53</v>
      </c>
      <c r="B65" s="80">
        <f t="shared" si="17"/>
        <v>0</v>
      </c>
      <c r="C65" s="81">
        <f t="shared" si="18"/>
        <v>0</v>
      </c>
      <c r="D65" s="81">
        <f t="shared" si="19"/>
        <v>0</v>
      </c>
      <c r="E65" s="81">
        <f t="shared" si="0"/>
        <v>0</v>
      </c>
      <c r="F65" s="81">
        <f t="shared" si="20"/>
        <v>0</v>
      </c>
      <c r="G65" s="81">
        <f t="shared" si="1"/>
        <v>0</v>
      </c>
      <c r="H65" s="81">
        <f t="shared" si="21"/>
        <v>0</v>
      </c>
      <c r="I65" s="81">
        <f t="shared" si="2"/>
        <v>0</v>
      </c>
      <c r="J65" s="81">
        <f t="shared" si="22"/>
        <v>0</v>
      </c>
      <c r="K65" s="81">
        <f t="shared" si="3"/>
        <v>0</v>
      </c>
      <c r="L65" s="81">
        <f t="shared" si="23"/>
        <v>0</v>
      </c>
      <c r="M65" s="81">
        <f t="shared" si="4"/>
        <v>0</v>
      </c>
      <c r="N65" s="81">
        <f t="shared" si="24"/>
        <v>0</v>
      </c>
      <c r="O65" s="81">
        <f t="shared" si="5"/>
        <v>0</v>
      </c>
      <c r="P65" s="81">
        <f t="shared" si="25"/>
        <v>0</v>
      </c>
      <c r="Q65" s="81">
        <f t="shared" si="6"/>
        <v>0</v>
      </c>
      <c r="R65" s="81">
        <f t="shared" si="26"/>
        <v>0</v>
      </c>
      <c r="S65" s="81">
        <f t="shared" si="7"/>
        <v>0</v>
      </c>
      <c r="T65" s="81">
        <f t="shared" si="27"/>
        <v>0</v>
      </c>
      <c r="U65" s="81">
        <f t="shared" si="8"/>
        <v>0</v>
      </c>
      <c r="V65" s="81">
        <f t="shared" si="28"/>
        <v>0</v>
      </c>
      <c r="W65" s="81">
        <f t="shared" si="9"/>
        <v>0</v>
      </c>
      <c r="X65" s="81">
        <f t="shared" si="29"/>
        <v>0</v>
      </c>
      <c r="Y65" s="81">
        <f t="shared" si="10"/>
        <v>0</v>
      </c>
      <c r="Z65" s="81">
        <f t="shared" si="33"/>
        <v>0</v>
      </c>
      <c r="AA65" s="81">
        <f t="shared" si="12"/>
        <v>0</v>
      </c>
      <c r="AB65" s="81">
        <f t="shared" si="32"/>
        <v>0</v>
      </c>
      <c r="AC65" s="81">
        <f t="shared" si="14"/>
        <v>0</v>
      </c>
      <c r="AD65" s="81">
        <f t="shared" si="30"/>
        <v>0</v>
      </c>
      <c r="AE65" s="81">
        <f t="shared" si="15"/>
        <v>0</v>
      </c>
      <c r="AF65" s="81">
        <f t="shared" si="31"/>
        <v>0</v>
      </c>
      <c r="AG65" s="81">
        <f t="shared" si="16"/>
        <v>0</v>
      </c>
    </row>
    <row r="66" spans="1:33" ht="15.5" x14ac:dyDescent="0.35">
      <c r="A66" s="57">
        <v>54</v>
      </c>
      <c r="B66" s="80">
        <f t="shared" si="17"/>
        <v>0</v>
      </c>
      <c r="C66" s="81">
        <f t="shared" si="18"/>
        <v>0</v>
      </c>
      <c r="D66" s="81">
        <f t="shared" si="19"/>
        <v>0</v>
      </c>
      <c r="E66" s="81">
        <f t="shared" si="0"/>
        <v>0</v>
      </c>
      <c r="F66" s="81">
        <f t="shared" si="20"/>
        <v>0</v>
      </c>
      <c r="G66" s="81">
        <f t="shared" si="1"/>
        <v>0</v>
      </c>
      <c r="H66" s="81">
        <f t="shared" si="21"/>
        <v>0</v>
      </c>
      <c r="I66" s="81">
        <f t="shared" si="2"/>
        <v>0</v>
      </c>
      <c r="J66" s="81">
        <f t="shared" si="22"/>
        <v>0</v>
      </c>
      <c r="K66" s="81">
        <f t="shared" si="3"/>
        <v>0</v>
      </c>
      <c r="L66" s="81">
        <f t="shared" si="23"/>
        <v>0</v>
      </c>
      <c r="M66" s="81">
        <f t="shared" si="4"/>
        <v>0</v>
      </c>
      <c r="N66" s="81">
        <f t="shared" si="24"/>
        <v>0</v>
      </c>
      <c r="O66" s="81">
        <f t="shared" si="5"/>
        <v>0</v>
      </c>
      <c r="P66" s="81">
        <f t="shared" si="25"/>
        <v>0</v>
      </c>
      <c r="Q66" s="81">
        <f t="shared" si="6"/>
        <v>0</v>
      </c>
      <c r="R66" s="81">
        <f t="shared" si="26"/>
        <v>0</v>
      </c>
      <c r="S66" s="81">
        <f t="shared" si="7"/>
        <v>0</v>
      </c>
      <c r="T66" s="81">
        <f t="shared" si="27"/>
        <v>0</v>
      </c>
      <c r="U66" s="81">
        <f t="shared" si="8"/>
        <v>0</v>
      </c>
      <c r="V66" s="81">
        <f t="shared" si="28"/>
        <v>0</v>
      </c>
      <c r="W66" s="81">
        <f t="shared" si="9"/>
        <v>0</v>
      </c>
      <c r="X66" s="81">
        <f t="shared" si="29"/>
        <v>0</v>
      </c>
      <c r="Y66" s="81">
        <f t="shared" si="10"/>
        <v>0</v>
      </c>
      <c r="Z66" s="81">
        <f t="shared" si="33"/>
        <v>0</v>
      </c>
      <c r="AA66" s="81">
        <f t="shared" si="12"/>
        <v>0</v>
      </c>
      <c r="AB66" s="81">
        <f t="shared" si="32"/>
        <v>0</v>
      </c>
      <c r="AC66" s="81">
        <f t="shared" si="14"/>
        <v>0</v>
      </c>
      <c r="AD66" s="81">
        <f t="shared" si="30"/>
        <v>0</v>
      </c>
      <c r="AE66" s="81">
        <f t="shared" si="15"/>
        <v>0</v>
      </c>
      <c r="AF66" s="81">
        <f t="shared" si="31"/>
        <v>0</v>
      </c>
      <c r="AG66" s="81">
        <f t="shared" si="16"/>
        <v>0</v>
      </c>
    </row>
    <row r="67" spans="1:33" ht="15.5" x14ac:dyDescent="0.35">
      <c r="A67" s="57">
        <v>55</v>
      </c>
      <c r="B67" s="80">
        <f t="shared" si="17"/>
        <v>0</v>
      </c>
      <c r="C67" s="81">
        <f t="shared" si="18"/>
        <v>0</v>
      </c>
      <c r="D67" s="81">
        <f t="shared" si="19"/>
        <v>0</v>
      </c>
      <c r="E67" s="81">
        <f t="shared" si="0"/>
        <v>0</v>
      </c>
      <c r="F67" s="81">
        <f t="shared" si="20"/>
        <v>0</v>
      </c>
      <c r="G67" s="81">
        <f t="shared" si="1"/>
        <v>0</v>
      </c>
      <c r="H67" s="81">
        <f t="shared" si="21"/>
        <v>0</v>
      </c>
      <c r="I67" s="81">
        <f t="shared" si="2"/>
        <v>0</v>
      </c>
      <c r="J67" s="81">
        <f t="shared" si="22"/>
        <v>0</v>
      </c>
      <c r="K67" s="81">
        <f t="shared" si="3"/>
        <v>0</v>
      </c>
      <c r="L67" s="81">
        <f t="shared" si="23"/>
        <v>0</v>
      </c>
      <c r="M67" s="81">
        <f t="shared" si="4"/>
        <v>0</v>
      </c>
      <c r="N67" s="81">
        <f t="shared" si="24"/>
        <v>0</v>
      </c>
      <c r="O67" s="81">
        <f t="shared" si="5"/>
        <v>0</v>
      </c>
      <c r="P67" s="81">
        <f t="shared" si="25"/>
        <v>0</v>
      </c>
      <c r="Q67" s="81">
        <f t="shared" si="6"/>
        <v>0</v>
      </c>
      <c r="R67" s="81">
        <f t="shared" si="26"/>
        <v>0</v>
      </c>
      <c r="S67" s="81">
        <f t="shared" si="7"/>
        <v>0</v>
      </c>
      <c r="T67" s="81">
        <f t="shared" si="27"/>
        <v>0</v>
      </c>
      <c r="U67" s="81">
        <f t="shared" si="8"/>
        <v>0</v>
      </c>
      <c r="V67" s="81">
        <f t="shared" si="28"/>
        <v>0</v>
      </c>
      <c r="W67" s="81">
        <f t="shared" si="9"/>
        <v>0</v>
      </c>
      <c r="X67" s="81">
        <f t="shared" si="29"/>
        <v>0</v>
      </c>
      <c r="Y67" s="81">
        <f t="shared" si="10"/>
        <v>0</v>
      </c>
      <c r="Z67" s="81">
        <f t="shared" si="33"/>
        <v>0</v>
      </c>
      <c r="AA67" s="81">
        <f t="shared" si="12"/>
        <v>0</v>
      </c>
      <c r="AB67" s="81">
        <f t="shared" si="32"/>
        <v>0</v>
      </c>
      <c r="AC67" s="81">
        <f t="shared" si="14"/>
        <v>0</v>
      </c>
      <c r="AD67" s="81">
        <f t="shared" si="30"/>
        <v>0</v>
      </c>
      <c r="AE67" s="81">
        <f t="shared" si="15"/>
        <v>0</v>
      </c>
      <c r="AF67" s="81">
        <f t="shared" si="31"/>
        <v>0</v>
      </c>
      <c r="AG67" s="81">
        <f t="shared" si="16"/>
        <v>0</v>
      </c>
    </row>
    <row r="68" spans="1:33" ht="15.5" x14ac:dyDescent="0.35">
      <c r="A68" s="57">
        <v>56</v>
      </c>
      <c r="B68" s="80">
        <f t="shared" si="17"/>
        <v>0</v>
      </c>
      <c r="C68" s="81">
        <f t="shared" si="18"/>
        <v>0</v>
      </c>
      <c r="D68" s="81">
        <f t="shared" si="19"/>
        <v>0</v>
      </c>
      <c r="E68" s="81">
        <f t="shared" si="0"/>
        <v>0</v>
      </c>
      <c r="F68" s="81">
        <f t="shared" si="20"/>
        <v>0</v>
      </c>
      <c r="G68" s="81">
        <f t="shared" si="1"/>
        <v>0</v>
      </c>
      <c r="H68" s="81">
        <f t="shared" si="21"/>
        <v>0</v>
      </c>
      <c r="I68" s="81">
        <f t="shared" si="2"/>
        <v>0</v>
      </c>
      <c r="J68" s="81">
        <f t="shared" si="22"/>
        <v>0</v>
      </c>
      <c r="K68" s="81">
        <f t="shared" si="3"/>
        <v>0</v>
      </c>
      <c r="L68" s="81">
        <f t="shared" si="23"/>
        <v>0</v>
      </c>
      <c r="M68" s="81">
        <f t="shared" si="4"/>
        <v>0</v>
      </c>
      <c r="N68" s="81">
        <f t="shared" si="24"/>
        <v>0</v>
      </c>
      <c r="O68" s="81">
        <f t="shared" si="5"/>
        <v>0</v>
      </c>
      <c r="P68" s="81">
        <f t="shared" si="25"/>
        <v>0</v>
      </c>
      <c r="Q68" s="81">
        <f t="shared" si="6"/>
        <v>0</v>
      </c>
      <c r="R68" s="81">
        <f t="shared" si="26"/>
        <v>0</v>
      </c>
      <c r="S68" s="81">
        <f t="shared" si="7"/>
        <v>0</v>
      </c>
      <c r="T68" s="81">
        <f t="shared" si="27"/>
        <v>0</v>
      </c>
      <c r="U68" s="81">
        <f t="shared" si="8"/>
        <v>0</v>
      </c>
      <c r="V68" s="81">
        <f t="shared" si="28"/>
        <v>0</v>
      </c>
      <c r="W68" s="81">
        <f t="shared" si="9"/>
        <v>0</v>
      </c>
      <c r="X68" s="81">
        <f t="shared" si="29"/>
        <v>0</v>
      </c>
      <c r="Y68" s="81">
        <f t="shared" si="10"/>
        <v>0</v>
      </c>
      <c r="Z68" s="81">
        <f t="shared" si="33"/>
        <v>0</v>
      </c>
      <c r="AA68" s="81">
        <f t="shared" si="12"/>
        <v>0</v>
      </c>
      <c r="AB68" s="81">
        <f t="shared" si="32"/>
        <v>0</v>
      </c>
      <c r="AC68" s="81">
        <f t="shared" si="14"/>
        <v>0</v>
      </c>
      <c r="AD68" s="81">
        <f t="shared" si="30"/>
        <v>0</v>
      </c>
      <c r="AE68" s="81">
        <f t="shared" si="15"/>
        <v>0</v>
      </c>
      <c r="AF68" s="81">
        <f t="shared" si="31"/>
        <v>0</v>
      </c>
      <c r="AG68" s="81">
        <f t="shared" si="16"/>
        <v>0</v>
      </c>
    </row>
    <row r="69" spans="1:33" ht="15.5" x14ac:dyDescent="0.35">
      <c r="A69" s="57">
        <v>57</v>
      </c>
      <c r="B69" s="80">
        <f t="shared" si="17"/>
        <v>0</v>
      </c>
      <c r="C69" s="81">
        <f t="shared" si="18"/>
        <v>0</v>
      </c>
      <c r="D69" s="81">
        <f t="shared" si="19"/>
        <v>0</v>
      </c>
      <c r="E69" s="81">
        <f t="shared" si="0"/>
        <v>0</v>
      </c>
      <c r="F69" s="81">
        <f t="shared" si="20"/>
        <v>0</v>
      </c>
      <c r="G69" s="81">
        <f t="shared" si="1"/>
        <v>0</v>
      </c>
      <c r="H69" s="81">
        <f t="shared" si="21"/>
        <v>0</v>
      </c>
      <c r="I69" s="81">
        <f t="shared" si="2"/>
        <v>0</v>
      </c>
      <c r="J69" s="81">
        <f t="shared" si="22"/>
        <v>0</v>
      </c>
      <c r="K69" s="81">
        <f t="shared" si="3"/>
        <v>0</v>
      </c>
      <c r="L69" s="81">
        <f t="shared" si="23"/>
        <v>0</v>
      </c>
      <c r="M69" s="81">
        <f t="shared" si="4"/>
        <v>0</v>
      </c>
      <c r="N69" s="81">
        <f t="shared" si="24"/>
        <v>0</v>
      </c>
      <c r="O69" s="81">
        <f t="shared" si="5"/>
        <v>0</v>
      </c>
      <c r="P69" s="81">
        <f t="shared" si="25"/>
        <v>0</v>
      </c>
      <c r="Q69" s="81">
        <f t="shared" si="6"/>
        <v>0</v>
      </c>
      <c r="R69" s="81">
        <f t="shared" si="26"/>
        <v>0</v>
      </c>
      <c r="S69" s="81">
        <f t="shared" si="7"/>
        <v>0</v>
      </c>
      <c r="T69" s="81">
        <f t="shared" si="27"/>
        <v>0</v>
      </c>
      <c r="U69" s="81">
        <f t="shared" si="8"/>
        <v>0</v>
      </c>
      <c r="V69" s="81">
        <f t="shared" si="28"/>
        <v>0</v>
      </c>
      <c r="W69" s="81">
        <f t="shared" si="9"/>
        <v>0</v>
      </c>
      <c r="X69" s="81">
        <f t="shared" si="29"/>
        <v>0</v>
      </c>
      <c r="Y69" s="81">
        <f t="shared" si="10"/>
        <v>0</v>
      </c>
      <c r="Z69" s="81">
        <f t="shared" si="33"/>
        <v>0</v>
      </c>
      <c r="AA69" s="81">
        <f t="shared" si="12"/>
        <v>0</v>
      </c>
      <c r="AB69" s="81">
        <f t="shared" si="32"/>
        <v>0</v>
      </c>
      <c r="AC69" s="81">
        <f t="shared" si="14"/>
        <v>0</v>
      </c>
      <c r="AD69" s="81">
        <f t="shared" si="30"/>
        <v>0</v>
      </c>
      <c r="AE69" s="81">
        <f t="shared" si="15"/>
        <v>0</v>
      </c>
      <c r="AF69" s="81">
        <f t="shared" si="31"/>
        <v>0</v>
      </c>
      <c r="AG69" s="81">
        <f t="shared" si="16"/>
        <v>0</v>
      </c>
    </row>
    <row r="70" spans="1:33" ht="15.5" x14ac:dyDescent="0.35">
      <c r="A70" s="57">
        <v>58</v>
      </c>
      <c r="B70" s="80">
        <f t="shared" si="17"/>
        <v>0</v>
      </c>
      <c r="C70" s="81">
        <f t="shared" si="18"/>
        <v>0</v>
      </c>
      <c r="D70" s="81">
        <f t="shared" si="19"/>
        <v>0</v>
      </c>
      <c r="E70" s="81">
        <f t="shared" si="0"/>
        <v>0</v>
      </c>
      <c r="F70" s="81">
        <f t="shared" si="20"/>
        <v>0</v>
      </c>
      <c r="G70" s="81">
        <f t="shared" si="1"/>
        <v>0</v>
      </c>
      <c r="H70" s="81">
        <f t="shared" si="21"/>
        <v>0</v>
      </c>
      <c r="I70" s="81">
        <f t="shared" si="2"/>
        <v>0</v>
      </c>
      <c r="J70" s="81">
        <f t="shared" si="22"/>
        <v>0</v>
      </c>
      <c r="K70" s="81">
        <f t="shared" si="3"/>
        <v>0</v>
      </c>
      <c r="L70" s="81">
        <f t="shared" si="23"/>
        <v>0</v>
      </c>
      <c r="M70" s="81">
        <f t="shared" si="4"/>
        <v>0</v>
      </c>
      <c r="N70" s="81">
        <f t="shared" si="24"/>
        <v>0</v>
      </c>
      <c r="O70" s="81">
        <f t="shared" si="5"/>
        <v>0</v>
      </c>
      <c r="P70" s="81">
        <f t="shared" si="25"/>
        <v>0</v>
      </c>
      <c r="Q70" s="81">
        <f t="shared" si="6"/>
        <v>0</v>
      </c>
      <c r="R70" s="81">
        <f t="shared" si="26"/>
        <v>0</v>
      </c>
      <c r="S70" s="81">
        <f t="shared" si="7"/>
        <v>0</v>
      </c>
      <c r="T70" s="81">
        <f t="shared" si="27"/>
        <v>0</v>
      </c>
      <c r="U70" s="81">
        <f t="shared" si="8"/>
        <v>0</v>
      </c>
      <c r="V70" s="81">
        <f t="shared" si="28"/>
        <v>0</v>
      </c>
      <c r="W70" s="81">
        <f t="shared" si="9"/>
        <v>0</v>
      </c>
      <c r="X70" s="81">
        <f t="shared" si="29"/>
        <v>0</v>
      </c>
      <c r="Y70" s="81">
        <f t="shared" si="10"/>
        <v>0</v>
      </c>
      <c r="Z70" s="81">
        <f t="shared" si="33"/>
        <v>0</v>
      </c>
      <c r="AA70" s="81">
        <f t="shared" si="12"/>
        <v>0</v>
      </c>
      <c r="AB70" s="81">
        <f t="shared" si="32"/>
        <v>0</v>
      </c>
      <c r="AC70" s="81">
        <f t="shared" si="14"/>
        <v>0</v>
      </c>
      <c r="AD70" s="81">
        <f t="shared" si="30"/>
        <v>0</v>
      </c>
      <c r="AE70" s="81">
        <f t="shared" si="15"/>
        <v>0</v>
      </c>
      <c r="AF70" s="81">
        <f t="shared" si="31"/>
        <v>0</v>
      </c>
      <c r="AG70" s="81">
        <f t="shared" si="16"/>
        <v>0</v>
      </c>
    </row>
    <row r="71" spans="1:33" ht="15.5" x14ac:dyDescent="0.35">
      <c r="A71" s="57">
        <v>59</v>
      </c>
      <c r="B71" s="80">
        <f t="shared" si="17"/>
        <v>0</v>
      </c>
      <c r="C71" s="81">
        <f t="shared" si="18"/>
        <v>0</v>
      </c>
      <c r="D71" s="81">
        <f t="shared" si="19"/>
        <v>0</v>
      </c>
      <c r="E71" s="81">
        <f t="shared" si="0"/>
        <v>0</v>
      </c>
      <c r="F71" s="81">
        <f t="shared" si="20"/>
        <v>0</v>
      </c>
      <c r="G71" s="81">
        <f t="shared" si="1"/>
        <v>0</v>
      </c>
      <c r="H71" s="81">
        <f t="shared" si="21"/>
        <v>0</v>
      </c>
      <c r="I71" s="81">
        <f t="shared" si="2"/>
        <v>0</v>
      </c>
      <c r="J71" s="81">
        <f t="shared" si="22"/>
        <v>0</v>
      </c>
      <c r="K71" s="81">
        <f t="shared" si="3"/>
        <v>0</v>
      </c>
      <c r="L71" s="81">
        <f t="shared" si="23"/>
        <v>0</v>
      </c>
      <c r="M71" s="81">
        <f t="shared" si="4"/>
        <v>0</v>
      </c>
      <c r="N71" s="81">
        <f t="shared" si="24"/>
        <v>0</v>
      </c>
      <c r="O71" s="81">
        <f t="shared" si="5"/>
        <v>0</v>
      </c>
      <c r="P71" s="81">
        <f t="shared" si="25"/>
        <v>0</v>
      </c>
      <c r="Q71" s="81">
        <f t="shared" si="6"/>
        <v>0</v>
      </c>
      <c r="R71" s="81">
        <f t="shared" si="26"/>
        <v>0</v>
      </c>
      <c r="S71" s="81">
        <f t="shared" si="7"/>
        <v>0</v>
      </c>
      <c r="T71" s="81">
        <f t="shared" si="27"/>
        <v>0</v>
      </c>
      <c r="U71" s="81">
        <f t="shared" si="8"/>
        <v>0</v>
      </c>
      <c r="V71" s="81">
        <f t="shared" si="28"/>
        <v>0</v>
      </c>
      <c r="W71" s="81">
        <f t="shared" si="9"/>
        <v>0</v>
      </c>
      <c r="X71" s="81">
        <f t="shared" si="29"/>
        <v>0</v>
      </c>
      <c r="Y71" s="81">
        <f t="shared" si="10"/>
        <v>0</v>
      </c>
      <c r="Z71" s="81">
        <f t="shared" si="33"/>
        <v>0</v>
      </c>
      <c r="AA71" s="81">
        <f t="shared" si="12"/>
        <v>0</v>
      </c>
      <c r="AB71" s="81">
        <f t="shared" si="32"/>
        <v>0</v>
      </c>
      <c r="AC71" s="81">
        <f t="shared" si="14"/>
        <v>0</v>
      </c>
      <c r="AD71" s="81">
        <f t="shared" si="30"/>
        <v>0</v>
      </c>
      <c r="AE71" s="81">
        <f t="shared" si="15"/>
        <v>0</v>
      </c>
      <c r="AF71" s="81">
        <f t="shared" si="31"/>
        <v>0</v>
      </c>
      <c r="AG71" s="81">
        <f t="shared" si="16"/>
        <v>0</v>
      </c>
    </row>
    <row r="72" spans="1:33" ht="15.5" x14ac:dyDescent="0.35">
      <c r="A72" s="57">
        <v>60</v>
      </c>
      <c r="B72" s="80">
        <f t="shared" si="17"/>
        <v>0</v>
      </c>
      <c r="C72" s="81">
        <f t="shared" si="18"/>
        <v>0</v>
      </c>
      <c r="D72" s="81">
        <f t="shared" si="19"/>
        <v>0</v>
      </c>
      <c r="E72" s="81">
        <f t="shared" si="0"/>
        <v>0</v>
      </c>
      <c r="F72" s="81">
        <f t="shared" si="20"/>
        <v>0</v>
      </c>
      <c r="G72" s="81">
        <f t="shared" si="1"/>
        <v>0</v>
      </c>
      <c r="H72" s="81">
        <f t="shared" si="21"/>
        <v>0</v>
      </c>
      <c r="I72" s="81">
        <f t="shared" si="2"/>
        <v>0</v>
      </c>
      <c r="J72" s="81">
        <f t="shared" si="22"/>
        <v>0</v>
      </c>
      <c r="K72" s="81">
        <f t="shared" si="3"/>
        <v>0</v>
      </c>
      <c r="L72" s="81">
        <f t="shared" si="23"/>
        <v>0</v>
      </c>
      <c r="M72" s="81">
        <f t="shared" si="4"/>
        <v>0</v>
      </c>
      <c r="N72" s="81">
        <f t="shared" si="24"/>
        <v>0</v>
      </c>
      <c r="O72" s="81">
        <f t="shared" si="5"/>
        <v>0</v>
      </c>
      <c r="P72" s="81">
        <f t="shared" si="25"/>
        <v>0</v>
      </c>
      <c r="Q72" s="81">
        <f t="shared" si="6"/>
        <v>0</v>
      </c>
      <c r="R72" s="81">
        <f t="shared" si="26"/>
        <v>0</v>
      </c>
      <c r="S72" s="81">
        <f t="shared" si="7"/>
        <v>0</v>
      </c>
      <c r="T72" s="81">
        <f t="shared" si="27"/>
        <v>0</v>
      </c>
      <c r="U72" s="81">
        <f t="shared" si="8"/>
        <v>0</v>
      </c>
      <c r="V72" s="81">
        <f t="shared" si="28"/>
        <v>0</v>
      </c>
      <c r="W72" s="81">
        <f t="shared" si="9"/>
        <v>0</v>
      </c>
      <c r="X72" s="81">
        <f t="shared" si="29"/>
        <v>0</v>
      </c>
      <c r="Y72" s="81">
        <f t="shared" si="10"/>
        <v>0</v>
      </c>
      <c r="Z72" s="81">
        <f t="shared" si="33"/>
        <v>0</v>
      </c>
      <c r="AA72" s="81">
        <f t="shared" si="12"/>
        <v>0</v>
      </c>
      <c r="AB72" s="81">
        <f t="shared" si="32"/>
        <v>0</v>
      </c>
      <c r="AC72" s="81">
        <f t="shared" si="14"/>
        <v>0</v>
      </c>
      <c r="AD72" s="81">
        <f t="shared" si="30"/>
        <v>0</v>
      </c>
      <c r="AE72" s="81">
        <f t="shared" si="15"/>
        <v>0</v>
      </c>
      <c r="AF72" s="81">
        <f t="shared" si="31"/>
        <v>0</v>
      </c>
      <c r="AG72" s="81">
        <f t="shared" si="16"/>
        <v>0</v>
      </c>
    </row>
    <row r="73" spans="1:33" ht="15.5" x14ac:dyDescent="0.35">
      <c r="A73" s="57">
        <v>61</v>
      </c>
      <c r="B73" s="80">
        <f t="shared" si="17"/>
        <v>0</v>
      </c>
      <c r="C73" s="81">
        <f t="shared" si="18"/>
        <v>0</v>
      </c>
      <c r="D73" s="81">
        <f t="shared" si="19"/>
        <v>0</v>
      </c>
      <c r="E73" s="81">
        <f t="shared" si="0"/>
        <v>0</v>
      </c>
      <c r="F73" s="81">
        <f t="shared" si="20"/>
        <v>0</v>
      </c>
      <c r="G73" s="81">
        <f t="shared" si="1"/>
        <v>0</v>
      </c>
      <c r="H73" s="81">
        <f t="shared" si="21"/>
        <v>0</v>
      </c>
      <c r="I73" s="81">
        <f t="shared" si="2"/>
        <v>0</v>
      </c>
      <c r="J73" s="81">
        <f t="shared" si="22"/>
        <v>0</v>
      </c>
      <c r="K73" s="81">
        <f t="shared" si="3"/>
        <v>0</v>
      </c>
      <c r="L73" s="81">
        <f t="shared" si="23"/>
        <v>0</v>
      </c>
      <c r="M73" s="81">
        <f t="shared" si="4"/>
        <v>0</v>
      </c>
      <c r="N73" s="81">
        <f t="shared" si="24"/>
        <v>0</v>
      </c>
      <c r="O73" s="81">
        <f t="shared" si="5"/>
        <v>0</v>
      </c>
      <c r="P73" s="81">
        <f t="shared" si="25"/>
        <v>0</v>
      </c>
      <c r="Q73" s="81">
        <f t="shared" si="6"/>
        <v>0</v>
      </c>
      <c r="R73" s="81">
        <f t="shared" si="26"/>
        <v>0</v>
      </c>
      <c r="S73" s="81">
        <f t="shared" si="7"/>
        <v>0</v>
      </c>
      <c r="T73" s="81">
        <f t="shared" si="27"/>
        <v>0</v>
      </c>
      <c r="U73" s="81">
        <f t="shared" si="8"/>
        <v>0</v>
      </c>
      <c r="V73" s="81">
        <f t="shared" si="28"/>
        <v>0</v>
      </c>
      <c r="W73" s="81">
        <f t="shared" si="9"/>
        <v>0</v>
      </c>
      <c r="X73" s="81">
        <f t="shared" si="29"/>
        <v>0</v>
      </c>
      <c r="Y73" s="81">
        <f t="shared" si="10"/>
        <v>0</v>
      </c>
      <c r="Z73" s="81">
        <f t="shared" si="33"/>
        <v>0</v>
      </c>
      <c r="AA73" s="81">
        <f t="shared" si="12"/>
        <v>0</v>
      </c>
      <c r="AB73" s="81">
        <f t="shared" si="32"/>
        <v>0</v>
      </c>
      <c r="AC73" s="81">
        <f t="shared" si="14"/>
        <v>0</v>
      </c>
      <c r="AD73" s="81">
        <f t="shared" si="30"/>
        <v>0</v>
      </c>
      <c r="AE73" s="81">
        <f t="shared" si="15"/>
        <v>0</v>
      </c>
      <c r="AF73" s="81">
        <f t="shared" si="31"/>
        <v>0</v>
      </c>
      <c r="AG73" s="81">
        <f t="shared" si="16"/>
        <v>0</v>
      </c>
    </row>
    <row r="74" spans="1:33" ht="15.5" x14ac:dyDescent="0.35">
      <c r="A74" s="57">
        <v>62</v>
      </c>
      <c r="B74" s="80">
        <f t="shared" si="17"/>
        <v>0</v>
      </c>
      <c r="C74" s="81">
        <f t="shared" si="18"/>
        <v>0</v>
      </c>
      <c r="D74" s="81">
        <f t="shared" si="19"/>
        <v>0</v>
      </c>
      <c r="E74" s="81">
        <f t="shared" si="0"/>
        <v>0</v>
      </c>
      <c r="F74" s="81">
        <f t="shared" si="20"/>
        <v>0</v>
      </c>
      <c r="G74" s="81">
        <f t="shared" si="1"/>
        <v>0</v>
      </c>
      <c r="H74" s="81">
        <f t="shared" si="21"/>
        <v>0</v>
      </c>
      <c r="I74" s="81">
        <f t="shared" si="2"/>
        <v>0</v>
      </c>
      <c r="J74" s="81">
        <f t="shared" si="22"/>
        <v>0</v>
      </c>
      <c r="K74" s="81">
        <f t="shared" si="3"/>
        <v>0</v>
      </c>
      <c r="L74" s="81">
        <f t="shared" si="23"/>
        <v>0</v>
      </c>
      <c r="M74" s="81">
        <f t="shared" si="4"/>
        <v>0</v>
      </c>
      <c r="N74" s="81">
        <f t="shared" si="24"/>
        <v>0</v>
      </c>
      <c r="O74" s="81">
        <f t="shared" si="5"/>
        <v>0</v>
      </c>
      <c r="P74" s="81">
        <f t="shared" si="25"/>
        <v>0</v>
      </c>
      <c r="Q74" s="81">
        <f t="shared" si="6"/>
        <v>0</v>
      </c>
      <c r="R74" s="81">
        <f t="shared" si="26"/>
        <v>0</v>
      </c>
      <c r="S74" s="81">
        <f t="shared" si="7"/>
        <v>0</v>
      </c>
      <c r="T74" s="81">
        <f t="shared" si="27"/>
        <v>0</v>
      </c>
      <c r="U74" s="81">
        <f t="shared" si="8"/>
        <v>0</v>
      </c>
      <c r="V74" s="81">
        <f t="shared" si="28"/>
        <v>0</v>
      </c>
      <c r="W74" s="81">
        <f t="shared" si="9"/>
        <v>0</v>
      </c>
      <c r="X74" s="81">
        <f t="shared" si="29"/>
        <v>0</v>
      </c>
      <c r="Y74" s="81">
        <f t="shared" si="10"/>
        <v>0</v>
      </c>
      <c r="Z74" s="81">
        <f t="shared" si="33"/>
        <v>0</v>
      </c>
      <c r="AA74" s="81">
        <f t="shared" si="12"/>
        <v>0</v>
      </c>
      <c r="AB74" s="81">
        <f t="shared" si="32"/>
        <v>0</v>
      </c>
      <c r="AC74" s="81">
        <f t="shared" si="14"/>
        <v>0</v>
      </c>
      <c r="AD74" s="81">
        <f t="shared" si="30"/>
        <v>0</v>
      </c>
      <c r="AE74" s="81">
        <f t="shared" si="15"/>
        <v>0</v>
      </c>
      <c r="AF74" s="81">
        <f t="shared" si="31"/>
        <v>0</v>
      </c>
      <c r="AG74" s="81">
        <f t="shared" si="16"/>
        <v>0</v>
      </c>
    </row>
    <row r="75" spans="1:33" ht="15.5" x14ac:dyDescent="0.35">
      <c r="A75" s="57">
        <v>63</v>
      </c>
      <c r="B75" s="80">
        <f t="shared" si="17"/>
        <v>0</v>
      </c>
      <c r="C75" s="81">
        <f t="shared" si="18"/>
        <v>0</v>
      </c>
      <c r="D75" s="81">
        <f t="shared" si="19"/>
        <v>0</v>
      </c>
      <c r="E75" s="81">
        <f t="shared" si="0"/>
        <v>0</v>
      </c>
      <c r="F75" s="81">
        <f t="shared" si="20"/>
        <v>0</v>
      </c>
      <c r="G75" s="81">
        <f t="shared" si="1"/>
        <v>0</v>
      </c>
      <c r="H75" s="81">
        <f t="shared" si="21"/>
        <v>0</v>
      </c>
      <c r="I75" s="81">
        <f t="shared" si="2"/>
        <v>0</v>
      </c>
      <c r="J75" s="81">
        <f t="shared" si="22"/>
        <v>0</v>
      </c>
      <c r="K75" s="81">
        <f t="shared" si="3"/>
        <v>0</v>
      </c>
      <c r="L75" s="81">
        <f t="shared" si="23"/>
        <v>0</v>
      </c>
      <c r="M75" s="81">
        <f t="shared" si="4"/>
        <v>0</v>
      </c>
      <c r="N75" s="81">
        <f t="shared" si="24"/>
        <v>0</v>
      </c>
      <c r="O75" s="81">
        <f t="shared" si="5"/>
        <v>0</v>
      </c>
      <c r="P75" s="81">
        <f t="shared" si="25"/>
        <v>0</v>
      </c>
      <c r="Q75" s="81">
        <f t="shared" si="6"/>
        <v>0</v>
      </c>
      <c r="R75" s="81">
        <f t="shared" si="26"/>
        <v>0</v>
      </c>
      <c r="S75" s="81">
        <f t="shared" si="7"/>
        <v>0</v>
      </c>
      <c r="T75" s="81">
        <f t="shared" si="27"/>
        <v>0</v>
      </c>
      <c r="U75" s="81">
        <f t="shared" si="8"/>
        <v>0</v>
      </c>
      <c r="V75" s="81">
        <f t="shared" si="28"/>
        <v>0</v>
      </c>
      <c r="W75" s="81">
        <f t="shared" si="9"/>
        <v>0</v>
      </c>
      <c r="X75" s="81">
        <f t="shared" si="29"/>
        <v>0</v>
      </c>
      <c r="Y75" s="81">
        <f t="shared" si="10"/>
        <v>0</v>
      </c>
      <c r="Z75" s="81">
        <f t="shared" si="33"/>
        <v>0</v>
      </c>
      <c r="AA75" s="81">
        <f t="shared" si="12"/>
        <v>0</v>
      </c>
      <c r="AB75" s="81">
        <f t="shared" si="32"/>
        <v>0</v>
      </c>
      <c r="AC75" s="81">
        <f t="shared" si="14"/>
        <v>0</v>
      </c>
      <c r="AD75" s="81">
        <f t="shared" si="30"/>
        <v>0</v>
      </c>
      <c r="AE75" s="81">
        <f t="shared" si="15"/>
        <v>0</v>
      </c>
      <c r="AF75" s="81">
        <f t="shared" si="31"/>
        <v>0</v>
      </c>
      <c r="AG75" s="81">
        <f t="shared" si="16"/>
        <v>0</v>
      </c>
    </row>
    <row r="76" spans="1:33" ht="15.5" x14ac:dyDescent="0.35">
      <c r="A76" s="57">
        <v>64</v>
      </c>
      <c r="B76" s="80">
        <f t="shared" si="17"/>
        <v>0</v>
      </c>
      <c r="C76" s="81">
        <f t="shared" si="18"/>
        <v>0</v>
      </c>
      <c r="D76" s="81">
        <f t="shared" si="19"/>
        <v>0</v>
      </c>
      <c r="E76" s="81">
        <f t="shared" si="0"/>
        <v>0</v>
      </c>
      <c r="F76" s="81">
        <f t="shared" si="20"/>
        <v>0</v>
      </c>
      <c r="G76" s="81">
        <f t="shared" si="1"/>
        <v>0</v>
      </c>
      <c r="H76" s="81">
        <f t="shared" si="21"/>
        <v>0</v>
      </c>
      <c r="I76" s="81">
        <f t="shared" si="2"/>
        <v>0</v>
      </c>
      <c r="J76" s="81">
        <f t="shared" si="22"/>
        <v>0</v>
      </c>
      <c r="K76" s="81">
        <f t="shared" si="3"/>
        <v>0</v>
      </c>
      <c r="L76" s="81">
        <f t="shared" si="23"/>
        <v>0</v>
      </c>
      <c r="M76" s="81">
        <f t="shared" si="4"/>
        <v>0</v>
      </c>
      <c r="N76" s="81">
        <f t="shared" si="24"/>
        <v>0</v>
      </c>
      <c r="O76" s="81">
        <f t="shared" si="5"/>
        <v>0</v>
      </c>
      <c r="P76" s="81">
        <f t="shared" si="25"/>
        <v>0</v>
      </c>
      <c r="Q76" s="81">
        <f t="shared" si="6"/>
        <v>0</v>
      </c>
      <c r="R76" s="81">
        <f t="shared" si="26"/>
        <v>0</v>
      </c>
      <c r="S76" s="81">
        <f t="shared" si="7"/>
        <v>0</v>
      </c>
      <c r="T76" s="81">
        <f t="shared" si="27"/>
        <v>0</v>
      </c>
      <c r="U76" s="81">
        <f t="shared" si="8"/>
        <v>0</v>
      </c>
      <c r="V76" s="81">
        <f t="shared" si="28"/>
        <v>0</v>
      </c>
      <c r="W76" s="81">
        <f t="shared" si="9"/>
        <v>0</v>
      </c>
      <c r="X76" s="81">
        <f t="shared" si="29"/>
        <v>0</v>
      </c>
      <c r="Y76" s="81">
        <f t="shared" si="10"/>
        <v>0</v>
      </c>
      <c r="Z76" s="81">
        <f t="shared" si="33"/>
        <v>0</v>
      </c>
      <c r="AA76" s="81">
        <f t="shared" si="12"/>
        <v>0</v>
      </c>
      <c r="AB76" s="81">
        <f t="shared" si="32"/>
        <v>0</v>
      </c>
      <c r="AC76" s="81">
        <f t="shared" si="14"/>
        <v>0</v>
      </c>
      <c r="AD76" s="81">
        <f t="shared" si="30"/>
        <v>0</v>
      </c>
      <c r="AE76" s="81">
        <f t="shared" si="15"/>
        <v>0</v>
      </c>
      <c r="AF76" s="81">
        <f t="shared" si="31"/>
        <v>0</v>
      </c>
      <c r="AG76" s="81">
        <f t="shared" si="16"/>
        <v>0</v>
      </c>
    </row>
    <row r="77" spans="1:33" ht="15.5" x14ac:dyDescent="0.35">
      <c r="A77" s="57">
        <v>65</v>
      </c>
      <c r="B77" s="80">
        <f t="shared" si="17"/>
        <v>0</v>
      </c>
      <c r="C77" s="81">
        <f t="shared" si="18"/>
        <v>0</v>
      </c>
      <c r="D77" s="81">
        <f t="shared" si="19"/>
        <v>0</v>
      </c>
      <c r="E77" s="81">
        <f t="shared" si="0"/>
        <v>0</v>
      </c>
      <c r="F77" s="81">
        <f t="shared" si="20"/>
        <v>0</v>
      </c>
      <c r="G77" s="81">
        <f t="shared" si="1"/>
        <v>0</v>
      </c>
      <c r="H77" s="81">
        <f t="shared" si="21"/>
        <v>0</v>
      </c>
      <c r="I77" s="81">
        <f t="shared" si="2"/>
        <v>0</v>
      </c>
      <c r="J77" s="81">
        <f t="shared" si="22"/>
        <v>0</v>
      </c>
      <c r="K77" s="81">
        <f t="shared" si="3"/>
        <v>0</v>
      </c>
      <c r="L77" s="81">
        <f t="shared" si="23"/>
        <v>0</v>
      </c>
      <c r="M77" s="81">
        <f t="shared" si="4"/>
        <v>0</v>
      </c>
      <c r="N77" s="81">
        <f t="shared" si="24"/>
        <v>0</v>
      </c>
      <c r="O77" s="81">
        <f t="shared" si="5"/>
        <v>0</v>
      </c>
      <c r="P77" s="81">
        <f t="shared" si="25"/>
        <v>0</v>
      </c>
      <c r="Q77" s="81">
        <f t="shared" si="6"/>
        <v>0</v>
      </c>
      <c r="R77" s="81">
        <f t="shared" si="26"/>
        <v>0</v>
      </c>
      <c r="S77" s="81">
        <f t="shared" si="7"/>
        <v>0</v>
      </c>
      <c r="T77" s="81">
        <f t="shared" si="27"/>
        <v>0</v>
      </c>
      <c r="U77" s="81">
        <f t="shared" si="8"/>
        <v>0</v>
      </c>
      <c r="V77" s="81">
        <f t="shared" si="28"/>
        <v>0</v>
      </c>
      <c r="W77" s="81">
        <f t="shared" si="9"/>
        <v>0</v>
      </c>
      <c r="X77" s="81">
        <f t="shared" si="29"/>
        <v>0</v>
      </c>
      <c r="Y77" s="81">
        <f t="shared" si="10"/>
        <v>0</v>
      </c>
      <c r="Z77" s="81">
        <f t="shared" si="33"/>
        <v>0</v>
      </c>
      <c r="AA77" s="81">
        <f t="shared" si="12"/>
        <v>0</v>
      </c>
      <c r="AB77" s="81">
        <f t="shared" si="32"/>
        <v>0</v>
      </c>
      <c r="AC77" s="81">
        <f t="shared" si="14"/>
        <v>0</v>
      </c>
      <c r="AD77" s="81">
        <f t="shared" si="30"/>
        <v>0</v>
      </c>
      <c r="AE77" s="81">
        <f t="shared" si="15"/>
        <v>0</v>
      </c>
      <c r="AF77" s="81">
        <f t="shared" si="31"/>
        <v>0</v>
      </c>
      <c r="AG77" s="81">
        <f t="shared" si="16"/>
        <v>0</v>
      </c>
    </row>
    <row r="78" spans="1:33" ht="15.5" x14ac:dyDescent="0.35">
      <c r="A78" s="57">
        <v>66</v>
      </c>
      <c r="B78" s="80">
        <f t="shared" si="17"/>
        <v>0</v>
      </c>
      <c r="C78" s="81">
        <f t="shared" si="18"/>
        <v>0</v>
      </c>
      <c r="D78" s="81">
        <f t="shared" si="19"/>
        <v>0</v>
      </c>
      <c r="E78" s="81">
        <f t="shared" ref="E78:E132" si="34">IF((E77-D78)&lt;=0.0001,0,(E77-D78)*(1+(E$10/12)))</f>
        <v>0</v>
      </c>
      <c r="F78" s="81">
        <f t="shared" si="20"/>
        <v>0</v>
      </c>
      <c r="G78" s="81">
        <f t="shared" ref="G78:G132" si="35">IF((G77-F78)&lt;=0.0001,0,(G77-F78)*(1+(G$10/12)))</f>
        <v>0</v>
      </c>
      <c r="H78" s="81">
        <f t="shared" si="21"/>
        <v>0</v>
      </c>
      <c r="I78" s="81">
        <f t="shared" ref="I78:I132" si="36">IF((I77-H78)&lt;=0.0001,0,(I77-H78)*(1+(I$10/12)))</f>
        <v>0</v>
      </c>
      <c r="J78" s="81">
        <f t="shared" si="22"/>
        <v>0</v>
      </c>
      <c r="K78" s="81">
        <f t="shared" ref="K78:K132" si="37">IF((K77-J78)&lt;=0.0001,0,(K77-J78)*(1+(K$10/12)))</f>
        <v>0</v>
      </c>
      <c r="L78" s="81">
        <f t="shared" si="23"/>
        <v>0</v>
      </c>
      <c r="M78" s="81">
        <f t="shared" ref="M78:M132" si="38">IF((M77-L78)&lt;=0.0001,0,(M77-L78)*(1+(M$10/12)))</f>
        <v>0</v>
      </c>
      <c r="N78" s="81">
        <f t="shared" si="24"/>
        <v>0</v>
      </c>
      <c r="O78" s="81">
        <f t="shared" ref="O78:O132" si="39">IF((O77-N78)&lt;=0.0001,0,(O77-N78)*(1+(O$10/12)))</f>
        <v>0</v>
      </c>
      <c r="P78" s="81">
        <f t="shared" si="25"/>
        <v>0</v>
      </c>
      <c r="Q78" s="81">
        <f t="shared" ref="Q78:Q132" si="40">IF((Q77-P78)&lt;=0.0001,0,(Q77-P78)*(1+(Q$10/12)))</f>
        <v>0</v>
      </c>
      <c r="R78" s="81">
        <f t="shared" si="26"/>
        <v>0</v>
      </c>
      <c r="S78" s="81">
        <f t="shared" ref="S78:S132" si="41">IF((S77-R78)&lt;=0.0001,0,(S77-R78)*(1+(S$10/12)))</f>
        <v>0</v>
      </c>
      <c r="T78" s="81">
        <f t="shared" si="27"/>
        <v>0</v>
      </c>
      <c r="U78" s="81">
        <f t="shared" ref="U78:U132" si="42">IF((U77-T78)&lt;=0.0001,0,(U77-T78)*(1+(U$10/12)))</f>
        <v>0</v>
      </c>
      <c r="V78" s="81">
        <f t="shared" si="28"/>
        <v>0</v>
      </c>
      <c r="W78" s="81">
        <f t="shared" ref="W78:W132" si="43">IF((W77-V78)&lt;=0.0001,0,(W77-V78)*(1+(W$10/12)))</f>
        <v>0</v>
      </c>
      <c r="X78" s="81">
        <f t="shared" si="29"/>
        <v>0</v>
      </c>
      <c r="Y78" s="81">
        <f t="shared" ref="Y78:Y132" si="44">IF((Y77-X78)&lt;=0.0001,0,(Y77-X78)*(1+(Y$10/12)))</f>
        <v>0</v>
      </c>
      <c r="Z78" s="81">
        <f t="shared" si="33"/>
        <v>0</v>
      </c>
      <c r="AA78" s="81">
        <f t="shared" ref="AA78:AA132" si="45">IF((AA77-Z78)&lt;=0.0001,0,(AA77-Z78)*(1+(AA$10/12)))</f>
        <v>0</v>
      </c>
      <c r="AB78" s="81">
        <f t="shared" si="32"/>
        <v>0</v>
      </c>
      <c r="AC78" s="81">
        <f t="shared" ref="AC78:AC132" si="46">IF((AC77-AB78)&lt;=0.0001,0,(AC77-AB78)*(1+(AC$10/12)))</f>
        <v>0</v>
      </c>
      <c r="AD78" s="81">
        <f t="shared" si="30"/>
        <v>0</v>
      </c>
      <c r="AE78" s="81">
        <f t="shared" ref="AE78:AE132" si="47">IF((AE77-AD78)&lt;=0.0001,0,(AE77-AD78)*(1+(AE$10/12)))</f>
        <v>0</v>
      </c>
      <c r="AF78" s="81">
        <f t="shared" si="31"/>
        <v>0</v>
      </c>
      <c r="AG78" s="81">
        <f t="shared" ref="AG78:AG132" si="48">IF((AG77-AF78)&lt;=0.0001,0,(AG77-AF78)*(1+(AG$10/12)))</f>
        <v>0</v>
      </c>
    </row>
    <row r="79" spans="1:33" ht="15.5" x14ac:dyDescent="0.35">
      <c r="A79" s="57">
        <v>67</v>
      </c>
      <c r="B79" s="80">
        <f t="shared" ref="B79:B132" si="49">IF((C78-$H$2-$C$9)&lt;=0,($H$2+(C78-$H$2)),($H$2+$C$9))</f>
        <v>0</v>
      </c>
      <c r="C79" s="81">
        <f t="shared" ref="C79:C132" si="50">IF((C78-B79)&lt;=0.0001,0,(C78-B79)*(1+(C$10/12)))</f>
        <v>0</v>
      </c>
      <c r="D79" s="81">
        <f t="shared" ref="D79:D132" si="51">IF(AND(((E78-$H$2+B79-E$9-C$9)&lt;=0),C79=0),E78,IF((E78-$E$9-$H$2)&lt;=0,E78,IF(C79=0,$H$2-B79+E$9+C$9,E$9)))</f>
        <v>0</v>
      </c>
      <c r="E79" s="81">
        <f t="shared" si="34"/>
        <v>0</v>
      </c>
      <c r="F79" s="81">
        <f t="shared" ref="F79:F132" si="52">IF(AND(((G78-$H$2+D79-G$9-E$9-C$9)&lt;=0),E79=0),G78, IF((G78-$G$9-$H$2)&lt;=0,G78,IF(E79=0,$H$2-D79+G$9+E$9+C$9,G$9)))</f>
        <v>0</v>
      </c>
      <c r="G79" s="81">
        <f t="shared" si="35"/>
        <v>0</v>
      </c>
      <c r="H79" s="81">
        <f t="shared" ref="H79:H132" si="53">IF(AND(((I78-$H$2+F79-I$9-G$9-E$9-C$9)&lt;=0),G79=0),I78, IF((I78-$I$9-$H$2)&lt;=0,I78,IF(G79=0,$H$2-F79+I$9+G$9+E$9+C$9,I$9)))</f>
        <v>0</v>
      </c>
      <c r="I79" s="81">
        <f t="shared" si="36"/>
        <v>0</v>
      </c>
      <c r="J79" s="81">
        <f t="shared" ref="J79:J132" si="54">IF(AND(((K78-$H$2+H79+F79+D79+B79-K$9-I$9-G$9-E$9-C$9)&lt;=0),I79+G79+E79+C79=0),K78, IF(AND((K78-K$9-$H$2)&lt;=0, I79=0),K78,IF(K$9&gt;=K78, K78, IF(AND(I79=0,G79=0,E79=0,C79=0), $H$2-H79-F79-D79-B79+K$9+I$9+G$9+E$9+C$9,K$9))))</f>
        <v>0</v>
      </c>
      <c r="K79" s="81">
        <f t="shared" si="37"/>
        <v>0</v>
      </c>
      <c r="L79" s="81">
        <f t="shared" ref="L79:L132" si="55">IF(AND(((M78-$H$2+J79+H79+F79+D79-M$9-K$9-I$9-G$9-E$9-C$9)&lt;=0),K79+I79+G79+E79=0),M78, IF(AND((M78-M$9-$H$2)&lt;=0, K79=0),M78,IF(M$9&gt;=M78, M78, IF(AND(K79=0,I79=0,G79=0,E79=0), $H$2-J79-H79-F79-D79+M$9+K$9+I$9+G$9+E$9+C$9,M$9))))</f>
        <v>0</v>
      </c>
      <c r="M79" s="81">
        <f t="shared" si="38"/>
        <v>0</v>
      </c>
      <c r="N79" s="81">
        <f t="shared" ref="N79:N132" si="56">IF(AND(((O78-$H$2+L79+J79+H79+F79-O$9-M$9-K$9-I$9-G$9-E$9-C$9)&lt;=0),M79+K79+I79+G79=0),O78, IF(AND((O78-O$9-$H$2)&lt;=0, M79=0),O78,IF(O$9&gt;=O78, O78, IF(AND(M79=0,K79=0,I79=0,G79=0), $H$2-L79-J79-H79-F79+O$9+M$9+K$9+I$9+G$9+E$9+C$9,O$9))))</f>
        <v>0</v>
      </c>
      <c r="O79" s="81">
        <f t="shared" si="39"/>
        <v>0</v>
      </c>
      <c r="P79" s="81">
        <f t="shared" ref="P79:P132" si="57">IF(AND(((Q78-$H$2+N79+L79+J79+H79-Q$9-O$9-M$9-K$9-I$9-G$9-E$9-C$9)&lt;=0),O79+M79+K79+I79=0),Q78, IF(AND((Q78-Q$9-$H$2)&lt;=0, O79=0),Q78,IF(Q$9&gt;=Q78, Q78, IF(AND(O79=0,M79=0,K79=0,I79=0), $H$2-N79-L79-J79-H79+Q$9+O$9+M$9+K$9+I$9+G$9+E$9+C$9,Q$9))))</f>
        <v>0</v>
      </c>
      <c r="Q79" s="81">
        <f t="shared" si="40"/>
        <v>0</v>
      </c>
      <c r="R79" s="81">
        <f t="shared" ref="R79:R132" si="58">IF(AND(((S78-$H$2+P79+N79+L79+J79-S$9-Q$9-O$9-M$9-K$9-I$9-G$9-E$9-C$9)&lt;=0),Q79+O79+M79+K79=0),S78, IF(AND((S78-S$9-$H$2)&lt;=0, Q79=0),S78,IF(S$9&gt;=S78, S78, IF(AND(Q79=0,O79=0,M79=0,K79=0), $H$2-P79-N79-L79-J79+S$9+Q$9+O$9+M$9+K$9+I$9+G$9+E$9+C$9,S$9))))</f>
        <v>0</v>
      </c>
      <c r="S79" s="81">
        <f t="shared" si="41"/>
        <v>0</v>
      </c>
      <c r="T79" s="81">
        <f t="shared" ref="T79:T132" si="59">IF(AND(((U78-$H$2+R79+P79+N79+L79-U$9-S$9-Q$9-O$9-M$9-K$9-I$9-G$9-E$9-C$9)&lt;=0),S79+Q79+O79+M79=0),U78, IF(AND((U78-U$9-$H$2)&lt;=0, S79=0),U78,IF(U$9&gt;=U78, U78, IF(AND(S79=0,Q79=0,O79=0,M79=0), $H$2-R79-P79-N79-L79+U$9+S$9+Q$9+O$9+M$9+K$9+I$9+G$9+E$9+C$9,U$9))))</f>
        <v>0</v>
      </c>
      <c r="U79" s="81">
        <f t="shared" si="42"/>
        <v>0</v>
      </c>
      <c r="V79" s="81">
        <f t="shared" ref="V79:V132" si="60">IF(AND(((W78-$H$2+T79+R79+P79+N79-W$9-U$9-S$9-Q$9-O$9-M$9-K$9-I$9-G$9-E$9-C$9)&lt;=0),U79+S79+Q79+O79=0),W78, IF(AND((W78-W$9-$H$2)&lt;=0, U79=0),W78,IF(W$9&gt;=W78, W78, IF(AND(U79=0,S79=0,Q79=0,O79=0), $H$2-T79-R79-P79-N79+W$9+U$9+S$9+Q$9+O$9+M$9+K$9+I$9+G$9+E$9+C$9,W$9))))</f>
        <v>0</v>
      </c>
      <c r="W79" s="81">
        <f t="shared" si="43"/>
        <v>0</v>
      </c>
      <c r="X79" s="81">
        <f t="shared" ref="X79:X132" si="61">IF(AND(((Y78-$H$2+V79+T79+R79+P79-Y$9-W$9-U$9-S$9-Q$9-O$9-M$9-K$9-I$9-G$9-E$9-C$9)&lt;=0),W79+U79+S79+Q79=0),Y78, IF(AND((Y78-Y$9-$H$2)&lt;=0, W79=0),Y78,IF(Y$9&gt;=Y78, Y78, IF(AND(W79=0,U79=0,S79=0,Q79=0), $H$2-V79-T79-R79-P79+Y$9+W$9+U$9+S$9+Q$9+O$9+M$9+K$9+I$9+G$9+E$9+C$9,Y$9))))</f>
        <v>0</v>
      </c>
      <c r="Y79" s="81">
        <f t="shared" si="44"/>
        <v>0</v>
      </c>
      <c r="Z79" s="81">
        <f t="shared" si="33"/>
        <v>0</v>
      </c>
      <c r="AA79" s="81">
        <f t="shared" si="45"/>
        <v>0</v>
      </c>
      <c r="AB79" s="81">
        <f t="shared" si="32"/>
        <v>0</v>
      </c>
      <c r="AC79" s="81">
        <f t="shared" si="46"/>
        <v>0</v>
      </c>
      <c r="AD79" s="81">
        <f t="shared" ref="AD79:AD132" si="62">IF(AND(((AE78-$H$2+AB79-AE$9-AC$9-AA$9-Y$9-W$9-U$9-S$9-Q$9-O$9-M$9-K$9-I$9-G$9-E$9-C$9)&lt;=0),AC79=0),AE78, IF((AE78-AE$9-$H$2)&lt;=0,AE78,IF(AC79=0,$H$2-AB79+AE$9+AC$9+AA$9+Y$9+W$9+U$9+S$9+Q$9+O$9+M$9+K$9+I$9+G$9+E$9+C$9,AE$9)))</f>
        <v>0</v>
      </c>
      <c r="AE79" s="81">
        <f t="shared" si="47"/>
        <v>0</v>
      </c>
      <c r="AF79" s="81">
        <f t="shared" ref="AF79:AF132" si="63">IF(AND(((AG78-$H$2+AD79-AG$9-AE$9-AC$9-AA$9-Y$9-W$9-U$9-S$9-Q$9-O$9-M$9-K$9-I$9-G$9-E$9-C$9)&lt;=0),AE79=0),AG78, IF((AG78-AG$9-$H$2)&lt;=0,AG78,IF(AE79=0,$H$2-AD79+AG$9+AE$9+AC$9+AA$9+Y$9+W$9+U$9+S$9+Q$9+O$9+M$9+K$9+I$9+G$9+E$9+C$9,AG$9)))</f>
        <v>0</v>
      </c>
      <c r="AG79" s="81">
        <f t="shared" si="48"/>
        <v>0</v>
      </c>
    </row>
    <row r="80" spans="1:33" ht="15.5" x14ac:dyDescent="0.35">
      <c r="A80" s="57">
        <v>68</v>
      </c>
      <c r="B80" s="80">
        <f t="shared" si="49"/>
        <v>0</v>
      </c>
      <c r="C80" s="81">
        <f t="shared" si="50"/>
        <v>0</v>
      </c>
      <c r="D80" s="81">
        <f t="shared" si="51"/>
        <v>0</v>
      </c>
      <c r="E80" s="81">
        <f t="shared" si="34"/>
        <v>0</v>
      </c>
      <c r="F80" s="81">
        <f t="shared" si="52"/>
        <v>0</v>
      </c>
      <c r="G80" s="81">
        <f t="shared" si="35"/>
        <v>0</v>
      </c>
      <c r="H80" s="81">
        <f t="shared" si="53"/>
        <v>0</v>
      </c>
      <c r="I80" s="81">
        <f t="shared" si="36"/>
        <v>0</v>
      </c>
      <c r="J80" s="81">
        <f t="shared" si="54"/>
        <v>0</v>
      </c>
      <c r="K80" s="81">
        <f t="shared" si="37"/>
        <v>0</v>
      </c>
      <c r="L80" s="81">
        <f t="shared" si="55"/>
        <v>0</v>
      </c>
      <c r="M80" s="81">
        <f t="shared" si="38"/>
        <v>0</v>
      </c>
      <c r="N80" s="81">
        <f t="shared" si="56"/>
        <v>0</v>
      </c>
      <c r="O80" s="81">
        <f t="shared" si="39"/>
        <v>0</v>
      </c>
      <c r="P80" s="81">
        <f t="shared" si="57"/>
        <v>0</v>
      </c>
      <c r="Q80" s="81">
        <f t="shared" si="40"/>
        <v>0</v>
      </c>
      <c r="R80" s="81">
        <f t="shared" si="58"/>
        <v>0</v>
      </c>
      <c r="S80" s="81">
        <f t="shared" si="41"/>
        <v>0</v>
      </c>
      <c r="T80" s="81">
        <f t="shared" si="59"/>
        <v>0</v>
      </c>
      <c r="U80" s="81">
        <f t="shared" si="42"/>
        <v>0</v>
      </c>
      <c r="V80" s="81">
        <f t="shared" si="60"/>
        <v>0</v>
      </c>
      <c r="W80" s="81">
        <f t="shared" si="43"/>
        <v>0</v>
      </c>
      <c r="X80" s="81">
        <f t="shared" si="61"/>
        <v>0</v>
      </c>
      <c r="Y80" s="81">
        <f t="shared" si="44"/>
        <v>0</v>
      </c>
      <c r="Z80" s="81">
        <f t="shared" si="33"/>
        <v>0</v>
      </c>
      <c r="AA80" s="81">
        <f t="shared" si="45"/>
        <v>0</v>
      </c>
      <c r="AB80" s="81">
        <f t="shared" si="32"/>
        <v>0</v>
      </c>
      <c r="AC80" s="81">
        <f t="shared" si="46"/>
        <v>0</v>
      </c>
      <c r="AD80" s="81">
        <f t="shared" si="62"/>
        <v>0</v>
      </c>
      <c r="AE80" s="81">
        <f t="shared" si="47"/>
        <v>0</v>
      </c>
      <c r="AF80" s="81">
        <f t="shared" si="63"/>
        <v>0</v>
      </c>
      <c r="AG80" s="81">
        <f t="shared" si="48"/>
        <v>0</v>
      </c>
    </row>
    <row r="81" spans="1:33" ht="15.5" x14ac:dyDescent="0.35">
      <c r="A81" s="57">
        <v>69</v>
      </c>
      <c r="B81" s="80">
        <f>IF((C80-$H$2-$C$9)&lt;=0,($H$2+(C80-$H$2)),($H$2+$C$9))</f>
        <v>0</v>
      </c>
      <c r="C81" s="81">
        <f t="shared" si="50"/>
        <v>0</v>
      </c>
      <c r="D81" s="81">
        <f t="shared" si="51"/>
        <v>0</v>
      </c>
      <c r="E81" s="81">
        <f t="shared" si="34"/>
        <v>0</v>
      </c>
      <c r="F81" s="81">
        <f t="shared" si="52"/>
        <v>0</v>
      </c>
      <c r="G81" s="81">
        <f t="shared" si="35"/>
        <v>0</v>
      </c>
      <c r="H81" s="81">
        <f t="shared" si="53"/>
        <v>0</v>
      </c>
      <c r="I81" s="81">
        <f t="shared" si="36"/>
        <v>0</v>
      </c>
      <c r="J81" s="81">
        <f t="shared" si="54"/>
        <v>0</v>
      </c>
      <c r="K81" s="81">
        <f t="shared" si="37"/>
        <v>0</v>
      </c>
      <c r="L81" s="81">
        <f t="shared" si="55"/>
        <v>0</v>
      </c>
      <c r="M81" s="81">
        <f t="shared" si="38"/>
        <v>0</v>
      </c>
      <c r="N81" s="81">
        <f t="shared" si="56"/>
        <v>0</v>
      </c>
      <c r="O81" s="81">
        <f t="shared" si="39"/>
        <v>0</v>
      </c>
      <c r="P81" s="81">
        <f t="shared" si="57"/>
        <v>0</v>
      </c>
      <c r="Q81" s="81">
        <f t="shared" si="40"/>
        <v>0</v>
      </c>
      <c r="R81" s="81">
        <f t="shared" si="58"/>
        <v>0</v>
      </c>
      <c r="S81" s="81">
        <f t="shared" si="41"/>
        <v>0</v>
      </c>
      <c r="T81" s="81">
        <f t="shared" si="59"/>
        <v>0</v>
      </c>
      <c r="U81" s="81">
        <f t="shared" si="42"/>
        <v>0</v>
      </c>
      <c r="V81" s="81">
        <f t="shared" si="60"/>
        <v>0</v>
      </c>
      <c r="W81" s="81">
        <f t="shared" si="43"/>
        <v>0</v>
      </c>
      <c r="X81" s="81">
        <f t="shared" si="61"/>
        <v>0</v>
      </c>
      <c r="Y81" s="81">
        <f t="shared" si="44"/>
        <v>0</v>
      </c>
      <c r="Z81" s="81">
        <f t="shared" si="33"/>
        <v>0</v>
      </c>
      <c r="AA81" s="81">
        <f t="shared" si="45"/>
        <v>0</v>
      </c>
      <c r="AB81" s="81">
        <f t="shared" si="32"/>
        <v>0</v>
      </c>
      <c r="AC81" s="81">
        <f t="shared" si="46"/>
        <v>0</v>
      </c>
      <c r="AD81" s="81">
        <f t="shared" si="62"/>
        <v>0</v>
      </c>
      <c r="AE81" s="81">
        <f t="shared" si="47"/>
        <v>0</v>
      </c>
      <c r="AF81" s="81">
        <f t="shared" si="63"/>
        <v>0</v>
      </c>
      <c r="AG81" s="81">
        <f t="shared" si="48"/>
        <v>0</v>
      </c>
    </row>
    <row r="82" spans="1:33" ht="15.5" x14ac:dyDescent="0.35">
      <c r="A82" s="57">
        <v>70</v>
      </c>
      <c r="B82" s="80">
        <f t="shared" si="49"/>
        <v>0</v>
      </c>
      <c r="C82" s="81">
        <f t="shared" si="50"/>
        <v>0</v>
      </c>
      <c r="D82" s="81">
        <f t="shared" si="51"/>
        <v>0</v>
      </c>
      <c r="E82" s="81">
        <f t="shared" si="34"/>
        <v>0</v>
      </c>
      <c r="F82" s="81">
        <f t="shared" si="52"/>
        <v>0</v>
      </c>
      <c r="G82" s="81">
        <f t="shared" si="35"/>
        <v>0</v>
      </c>
      <c r="H82" s="81">
        <f t="shared" si="53"/>
        <v>0</v>
      </c>
      <c r="I82" s="81">
        <f t="shared" si="36"/>
        <v>0</v>
      </c>
      <c r="J82" s="81">
        <f t="shared" si="54"/>
        <v>0</v>
      </c>
      <c r="K82" s="81">
        <f t="shared" si="37"/>
        <v>0</v>
      </c>
      <c r="L82" s="81">
        <f t="shared" si="55"/>
        <v>0</v>
      </c>
      <c r="M82" s="81">
        <f t="shared" si="38"/>
        <v>0</v>
      </c>
      <c r="N82" s="81">
        <f t="shared" si="56"/>
        <v>0</v>
      </c>
      <c r="O82" s="81">
        <f t="shared" si="39"/>
        <v>0</v>
      </c>
      <c r="P82" s="81">
        <f t="shared" si="57"/>
        <v>0</v>
      </c>
      <c r="Q82" s="81">
        <f t="shared" si="40"/>
        <v>0</v>
      </c>
      <c r="R82" s="81">
        <f t="shared" si="58"/>
        <v>0</v>
      </c>
      <c r="S82" s="81">
        <f t="shared" si="41"/>
        <v>0</v>
      </c>
      <c r="T82" s="81">
        <f t="shared" si="59"/>
        <v>0</v>
      </c>
      <c r="U82" s="81">
        <f t="shared" si="42"/>
        <v>0</v>
      </c>
      <c r="V82" s="81">
        <f t="shared" si="60"/>
        <v>0</v>
      </c>
      <c r="W82" s="81">
        <f t="shared" si="43"/>
        <v>0</v>
      </c>
      <c r="X82" s="81">
        <f t="shared" si="61"/>
        <v>0</v>
      </c>
      <c r="Y82" s="81">
        <f t="shared" si="44"/>
        <v>0</v>
      </c>
      <c r="Z82" s="81">
        <f t="shared" si="33"/>
        <v>0</v>
      </c>
      <c r="AA82" s="81">
        <f t="shared" si="45"/>
        <v>0</v>
      </c>
      <c r="AB82" s="81">
        <f t="shared" si="32"/>
        <v>0</v>
      </c>
      <c r="AC82" s="81">
        <f t="shared" si="46"/>
        <v>0</v>
      </c>
      <c r="AD82" s="81">
        <f t="shared" si="62"/>
        <v>0</v>
      </c>
      <c r="AE82" s="81">
        <f t="shared" si="47"/>
        <v>0</v>
      </c>
      <c r="AF82" s="81">
        <f t="shared" si="63"/>
        <v>0</v>
      </c>
      <c r="AG82" s="81">
        <f t="shared" si="48"/>
        <v>0</v>
      </c>
    </row>
    <row r="83" spans="1:33" ht="15.5" x14ac:dyDescent="0.35">
      <c r="A83" s="57">
        <v>71</v>
      </c>
      <c r="B83" s="80">
        <f t="shared" si="49"/>
        <v>0</v>
      </c>
      <c r="C83" s="81">
        <f t="shared" si="50"/>
        <v>0</v>
      </c>
      <c r="D83" s="81">
        <f t="shared" si="51"/>
        <v>0</v>
      </c>
      <c r="E83" s="81">
        <f t="shared" si="34"/>
        <v>0</v>
      </c>
      <c r="F83" s="81">
        <f t="shared" si="52"/>
        <v>0</v>
      </c>
      <c r="G83" s="81">
        <f t="shared" si="35"/>
        <v>0</v>
      </c>
      <c r="H83" s="81">
        <f t="shared" si="53"/>
        <v>0</v>
      </c>
      <c r="I83" s="81">
        <f t="shared" si="36"/>
        <v>0</v>
      </c>
      <c r="J83" s="81">
        <f t="shared" si="54"/>
        <v>0</v>
      </c>
      <c r="K83" s="81">
        <f t="shared" si="37"/>
        <v>0</v>
      </c>
      <c r="L83" s="81">
        <f t="shared" si="55"/>
        <v>0</v>
      </c>
      <c r="M83" s="81">
        <f t="shared" si="38"/>
        <v>0</v>
      </c>
      <c r="N83" s="81">
        <f t="shared" si="56"/>
        <v>0</v>
      </c>
      <c r="O83" s="81">
        <f t="shared" si="39"/>
        <v>0</v>
      </c>
      <c r="P83" s="81">
        <f t="shared" si="57"/>
        <v>0</v>
      </c>
      <c r="Q83" s="81">
        <f t="shared" si="40"/>
        <v>0</v>
      </c>
      <c r="R83" s="81">
        <f t="shared" si="58"/>
        <v>0</v>
      </c>
      <c r="S83" s="81">
        <f t="shared" si="41"/>
        <v>0</v>
      </c>
      <c r="T83" s="81">
        <f t="shared" si="59"/>
        <v>0</v>
      </c>
      <c r="U83" s="81">
        <f t="shared" si="42"/>
        <v>0</v>
      </c>
      <c r="V83" s="81">
        <f t="shared" si="60"/>
        <v>0</v>
      </c>
      <c r="W83" s="81">
        <f t="shared" si="43"/>
        <v>0</v>
      </c>
      <c r="X83" s="81">
        <f t="shared" si="61"/>
        <v>0</v>
      </c>
      <c r="Y83" s="81">
        <f t="shared" si="44"/>
        <v>0</v>
      </c>
      <c r="Z83" s="81">
        <f t="shared" si="33"/>
        <v>0</v>
      </c>
      <c r="AA83" s="81">
        <f t="shared" si="45"/>
        <v>0</v>
      </c>
      <c r="AB83" s="81">
        <f t="shared" si="32"/>
        <v>0</v>
      </c>
      <c r="AC83" s="81">
        <f t="shared" si="46"/>
        <v>0</v>
      </c>
      <c r="AD83" s="81">
        <f t="shared" si="62"/>
        <v>0</v>
      </c>
      <c r="AE83" s="81">
        <f t="shared" si="47"/>
        <v>0</v>
      </c>
      <c r="AF83" s="81">
        <f t="shared" si="63"/>
        <v>0</v>
      </c>
      <c r="AG83" s="81">
        <f t="shared" si="48"/>
        <v>0</v>
      </c>
    </row>
    <row r="84" spans="1:33" ht="15.5" x14ac:dyDescent="0.35">
      <c r="A84" s="57">
        <v>72</v>
      </c>
      <c r="B84" s="80">
        <f t="shared" si="49"/>
        <v>0</v>
      </c>
      <c r="C84" s="81">
        <f t="shared" si="50"/>
        <v>0</v>
      </c>
      <c r="D84" s="81">
        <f t="shared" si="51"/>
        <v>0</v>
      </c>
      <c r="E84" s="81">
        <f t="shared" si="34"/>
        <v>0</v>
      </c>
      <c r="F84" s="81">
        <f t="shared" si="52"/>
        <v>0</v>
      </c>
      <c r="G84" s="81">
        <f t="shared" si="35"/>
        <v>0</v>
      </c>
      <c r="H84" s="81">
        <f t="shared" si="53"/>
        <v>0</v>
      </c>
      <c r="I84" s="81">
        <f t="shared" si="36"/>
        <v>0</v>
      </c>
      <c r="J84" s="81">
        <f t="shared" si="54"/>
        <v>0</v>
      </c>
      <c r="K84" s="81">
        <f t="shared" si="37"/>
        <v>0</v>
      </c>
      <c r="L84" s="81">
        <f t="shared" si="55"/>
        <v>0</v>
      </c>
      <c r="M84" s="81">
        <f t="shared" si="38"/>
        <v>0</v>
      </c>
      <c r="N84" s="81">
        <f t="shared" si="56"/>
        <v>0</v>
      </c>
      <c r="O84" s="81">
        <f t="shared" si="39"/>
        <v>0</v>
      </c>
      <c r="P84" s="81">
        <f t="shared" si="57"/>
        <v>0</v>
      </c>
      <c r="Q84" s="81">
        <f t="shared" si="40"/>
        <v>0</v>
      </c>
      <c r="R84" s="81">
        <f t="shared" si="58"/>
        <v>0</v>
      </c>
      <c r="S84" s="81">
        <f t="shared" si="41"/>
        <v>0</v>
      </c>
      <c r="T84" s="81">
        <f t="shared" si="59"/>
        <v>0</v>
      </c>
      <c r="U84" s="81">
        <f t="shared" si="42"/>
        <v>0</v>
      </c>
      <c r="V84" s="81">
        <f t="shared" si="60"/>
        <v>0</v>
      </c>
      <c r="W84" s="81">
        <f t="shared" si="43"/>
        <v>0</v>
      </c>
      <c r="X84" s="81">
        <f t="shared" si="61"/>
        <v>0</v>
      </c>
      <c r="Y84" s="81">
        <f t="shared" si="44"/>
        <v>0</v>
      </c>
      <c r="Z84" s="81">
        <f t="shared" si="33"/>
        <v>0</v>
      </c>
      <c r="AA84" s="81">
        <f t="shared" si="45"/>
        <v>0</v>
      </c>
      <c r="AB84" s="81">
        <f t="shared" si="32"/>
        <v>0</v>
      </c>
      <c r="AC84" s="81">
        <f t="shared" si="46"/>
        <v>0</v>
      </c>
      <c r="AD84" s="81">
        <f t="shared" si="62"/>
        <v>0</v>
      </c>
      <c r="AE84" s="81">
        <f t="shared" si="47"/>
        <v>0</v>
      </c>
      <c r="AF84" s="81">
        <f t="shared" si="63"/>
        <v>0</v>
      </c>
      <c r="AG84" s="81">
        <f t="shared" si="48"/>
        <v>0</v>
      </c>
    </row>
    <row r="85" spans="1:33" ht="15.5" x14ac:dyDescent="0.35">
      <c r="A85" s="57">
        <v>73</v>
      </c>
      <c r="B85" s="80">
        <f t="shared" si="49"/>
        <v>0</v>
      </c>
      <c r="C85" s="81">
        <f t="shared" si="50"/>
        <v>0</v>
      </c>
      <c r="D85" s="81">
        <f t="shared" si="51"/>
        <v>0</v>
      </c>
      <c r="E85" s="81">
        <f t="shared" si="34"/>
        <v>0</v>
      </c>
      <c r="F85" s="81">
        <f t="shared" si="52"/>
        <v>0</v>
      </c>
      <c r="G85" s="81">
        <f t="shared" si="35"/>
        <v>0</v>
      </c>
      <c r="H85" s="81">
        <f t="shared" si="53"/>
        <v>0</v>
      </c>
      <c r="I85" s="81">
        <f t="shared" si="36"/>
        <v>0</v>
      </c>
      <c r="J85" s="81">
        <f t="shared" si="54"/>
        <v>0</v>
      </c>
      <c r="K85" s="81">
        <f t="shared" si="37"/>
        <v>0</v>
      </c>
      <c r="L85" s="81">
        <f t="shared" si="55"/>
        <v>0</v>
      </c>
      <c r="M85" s="81">
        <f t="shared" si="38"/>
        <v>0</v>
      </c>
      <c r="N85" s="81">
        <f t="shared" si="56"/>
        <v>0</v>
      </c>
      <c r="O85" s="81">
        <f t="shared" si="39"/>
        <v>0</v>
      </c>
      <c r="P85" s="81">
        <f t="shared" si="57"/>
        <v>0</v>
      </c>
      <c r="Q85" s="81">
        <f t="shared" si="40"/>
        <v>0</v>
      </c>
      <c r="R85" s="81">
        <f t="shared" si="58"/>
        <v>0</v>
      </c>
      <c r="S85" s="81">
        <f t="shared" si="41"/>
        <v>0</v>
      </c>
      <c r="T85" s="81">
        <f t="shared" si="59"/>
        <v>0</v>
      </c>
      <c r="U85" s="81">
        <f t="shared" si="42"/>
        <v>0</v>
      </c>
      <c r="V85" s="81">
        <f t="shared" si="60"/>
        <v>0</v>
      </c>
      <c r="W85" s="81">
        <f t="shared" si="43"/>
        <v>0</v>
      </c>
      <c r="X85" s="81">
        <f t="shared" si="61"/>
        <v>0</v>
      </c>
      <c r="Y85" s="81">
        <f t="shared" si="44"/>
        <v>0</v>
      </c>
      <c r="Z85" s="81">
        <f t="shared" si="33"/>
        <v>0</v>
      </c>
      <c r="AA85" s="81">
        <f t="shared" si="45"/>
        <v>0</v>
      </c>
      <c r="AB85" s="81">
        <f t="shared" si="32"/>
        <v>0</v>
      </c>
      <c r="AC85" s="81">
        <f t="shared" si="46"/>
        <v>0</v>
      </c>
      <c r="AD85" s="81">
        <f t="shared" si="62"/>
        <v>0</v>
      </c>
      <c r="AE85" s="81">
        <f t="shared" si="47"/>
        <v>0</v>
      </c>
      <c r="AF85" s="81">
        <f t="shared" si="63"/>
        <v>0</v>
      </c>
      <c r="AG85" s="81">
        <f t="shared" si="48"/>
        <v>0</v>
      </c>
    </row>
    <row r="86" spans="1:33" ht="15.5" x14ac:dyDescent="0.35">
      <c r="A86" s="57">
        <v>74</v>
      </c>
      <c r="B86" s="80">
        <f t="shared" si="49"/>
        <v>0</v>
      </c>
      <c r="C86" s="81">
        <f t="shared" si="50"/>
        <v>0</v>
      </c>
      <c r="D86" s="81">
        <f t="shared" si="51"/>
        <v>0</v>
      </c>
      <c r="E86" s="81">
        <f t="shared" si="34"/>
        <v>0</v>
      </c>
      <c r="F86" s="81">
        <f t="shared" si="52"/>
        <v>0</v>
      </c>
      <c r="G86" s="81">
        <f t="shared" si="35"/>
        <v>0</v>
      </c>
      <c r="H86" s="81">
        <f t="shared" si="53"/>
        <v>0</v>
      </c>
      <c r="I86" s="81">
        <f t="shared" si="36"/>
        <v>0</v>
      </c>
      <c r="J86" s="81">
        <f t="shared" si="54"/>
        <v>0</v>
      </c>
      <c r="K86" s="81">
        <f t="shared" si="37"/>
        <v>0</v>
      </c>
      <c r="L86" s="81">
        <f t="shared" si="55"/>
        <v>0</v>
      </c>
      <c r="M86" s="81">
        <f t="shared" si="38"/>
        <v>0</v>
      </c>
      <c r="N86" s="81">
        <f t="shared" si="56"/>
        <v>0</v>
      </c>
      <c r="O86" s="81">
        <f t="shared" si="39"/>
        <v>0</v>
      </c>
      <c r="P86" s="81">
        <f t="shared" si="57"/>
        <v>0</v>
      </c>
      <c r="Q86" s="81">
        <f t="shared" si="40"/>
        <v>0</v>
      </c>
      <c r="R86" s="81">
        <f t="shared" si="58"/>
        <v>0</v>
      </c>
      <c r="S86" s="81">
        <f t="shared" si="41"/>
        <v>0</v>
      </c>
      <c r="T86" s="81">
        <f t="shared" si="59"/>
        <v>0</v>
      </c>
      <c r="U86" s="81">
        <f t="shared" si="42"/>
        <v>0</v>
      </c>
      <c r="V86" s="81">
        <f t="shared" si="60"/>
        <v>0</v>
      </c>
      <c r="W86" s="81">
        <f t="shared" si="43"/>
        <v>0</v>
      </c>
      <c r="X86" s="81">
        <f t="shared" si="61"/>
        <v>0</v>
      </c>
      <c r="Y86" s="81">
        <f t="shared" si="44"/>
        <v>0</v>
      </c>
      <c r="Z86" s="81">
        <f t="shared" si="33"/>
        <v>0</v>
      </c>
      <c r="AA86" s="81">
        <f t="shared" si="45"/>
        <v>0</v>
      </c>
      <c r="AB86" s="81">
        <f t="shared" si="32"/>
        <v>0</v>
      </c>
      <c r="AC86" s="81">
        <f t="shared" si="46"/>
        <v>0</v>
      </c>
      <c r="AD86" s="81">
        <f t="shared" si="62"/>
        <v>0</v>
      </c>
      <c r="AE86" s="81">
        <f t="shared" si="47"/>
        <v>0</v>
      </c>
      <c r="AF86" s="81">
        <f t="shared" si="63"/>
        <v>0</v>
      </c>
      <c r="AG86" s="81">
        <f t="shared" si="48"/>
        <v>0</v>
      </c>
    </row>
    <row r="87" spans="1:33" ht="15.5" x14ac:dyDescent="0.35">
      <c r="A87" s="57">
        <v>75</v>
      </c>
      <c r="B87" s="80">
        <f t="shared" si="49"/>
        <v>0</v>
      </c>
      <c r="C87" s="81">
        <f t="shared" si="50"/>
        <v>0</v>
      </c>
      <c r="D87" s="81">
        <f t="shared" si="51"/>
        <v>0</v>
      </c>
      <c r="E87" s="81">
        <f t="shared" si="34"/>
        <v>0</v>
      </c>
      <c r="F87" s="81">
        <f t="shared" si="52"/>
        <v>0</v>
      </c>
      <c r="G87" s="81">
        <f t="shared" si="35"/>
        <v>0</v>
      </c>
      <c r="H87" s="81">
        <f t="shared" si="53"/>
        <v>0</v>
      </c>
      <c r="I87" s="81">
        <f t="shared" si="36"/>
        <v>0</v>
      </c>
      <c r="J87" s="81">
        <f t="shared" si="54"/>
        <v>0</v>
      </c>
      <c r="K87" s="81">
        <f t="shared" si="37"/>
        <v>0</v>
      </c>
      <c r="L87" s="81">
        <f t="shared" si="55"/>
        <v>0</v>
      </c>
      <c r="M87" s="81">
        <f t="shared" si="38"/>
        <v>0</v>
      </c>
      <c r="N87" s="81">
        <f t="shared" si="56"/>
        <v>0</v>
      </c>
      <c r="O87" s="81">
        <f t="shared" si="39"/>
        <v>0</v>
      </c>
      <c r="P87" s="81">
        <f t="shared" si="57"/>
        <v>0</v>
      </c>
      <c r="Q87" s="81">
        <f t="shared" si="40"/>
        <v>0</v>
      </c>
      <c r="R87" s="81">
        <f t="shared" si="58"/>
        <v>0</v>
      </c>
      <c r="S87" s="81">
        <f t="shared" si="41"/>
        <v>0</v>
      </c>
      <c r="T87" s="81">
        <f t="shared" si="59"/>
        <v>0</v>
      </c>
      <c r="U87" s="81">
        <f t="shared" si="42"/>
        <v>0</v>
      </c>
      <c r="V87" s="81">
        <f t="shared" si="60"/>
        <v>0</v>
      </c>
      <c r="W87" s="81">
        <f t="shared" si="43"/>
        <v>0</v>
      </c>
      <c r="X87" s="81">
        <f t="shared" si="61"/>
        <v>0</v>
      </c>
      <c r="Y87" s="81">
        <f t="shared" si="44"/>
        <v>0</v>
      </c>
      <c r="Z87" s="81">
        <f t="shared" si="33"/>
        <v>0</v>
      </c>
      <c r="AA87" s="81">
        <f t="shared" si="45"/>
        <v>0</v>
      </c>
      <c r="AB87" s="81">
        <f t="shared" si="32"/>
        <v>0</v>
      </c>
      <c r="AC87" s="81">
        <f t="shared" si="46"/>
        <v>0</v>
      </c>
      <c r="AD87" s="81">
        <f t="shared" si="62"/>
        <v>0</v>
      </c>
      <c r="AE87" s="81">
        <f t="shared" si="47"/>
        <v>0</v>
      </c>
      <c r="AF87" s="81">
        <f t="shared" si="63"/>
        <v>0</v>
      </c>
      <c r="AG87" s="81">
        <f t="shared" si="48"/>
        <v>0</v>
      </c>
    </row>
    <row r="88" spans="1:33" ht="15.5" x14ac:dyDescent="0.35">
      <c r="A88" s="57">
        <v>76</v>
      </c>
      <c r="B88" s="80">
        <f t="shared" si="49"/>
        <v>0</v>
      </c>
      <c r="C88" s="81">
        <f t="shared" si="50"/>
        <v>0</v>
      </c>
      <c r="D88" s="81">
        <f t="shared" si="51"/>
        <v>0</v>
      </c>
      <c r="E88" s="81">
        <f t="shared" si="34"/>
        <v>0</v>
      </c>
      <c r="F88" s="81">
        <f t="shared" si="52"/>
        <v>0</v>
      </c>
      <c r="G88" s="81">
        <f t="shared" si="35"/>
        <v>0</v>
      </c>
      <c r="H88" s="81">
        <f t="shared" si="53"/>
        <v>0</v>
      </c>
      <c r="I88" s="81">
        <f t="shared" si="36"/>
        <v>0</v>
      </c>
      <c r="J88" s="81">
        <f t="shared" si="54"/>
        <v>0</v>
      </c>
      <c r="K88" s="81">
        <f t="shared" si="37"/>
        <v>0</v>
      </c>
      <c r="L88" s="81">
        <f t="shared" si="55"/>
        <v>0</v>
      </c>
      <c r="M88" s="81">
        <f t="shared" si="38"/>
        <v>0</v>
      </c>
      <c r="N88" s="81">
        <f t="shared" si="56"/>
        <v>0</v>
      </c>
      <c r="O88" s="81">
        <f t="shared" si="39"/>
        <v>0</v>
      </c>
      <c r="P88" s="81">
        <f t="shared" si="57"/>
        <v>0</v>
      </c>
      <c r="Q88" s="81">
        <f t="shared" si="40"/>
        <v>0</v>
      </c>
      <c r="R88" s="81">
        <f t="shared" si="58"/>
        <v>0</v>
      </c>
      <c r="S88" s="81">
        <f t="shared" si="41"/>
        <v>0</v>
      </c>
      <c r="T88" s="81">
        <f t="shared" si="59"/>
        <v>0</v>
      </c>
      <c r="U88" s="81">
        <f t="shared" si="42"/>
        <v>0</v>
      </c>
      <c r="V88" s="81">
        <f t="shared" si="60"/>
        <v>0</v>
      </c>
      <c r="W88" s="81">
        <f t="shared" si="43"/>
        <v>0</v>
      </c>
      <c r="X88" s="81">
        <f t="shared" si="61"/>
        <v>0</v>
      </c>
      <c r="Y88" s="81">
        <f t="shared" si="44"/>
        <v>0</v>
      </c>
      <c r="Z88" s="81">
        <f t="shared" si="33"/>
        <v>0</v>
      </c>
      <c r="AA88" s="81">
        <f t="shared" si="45"/>
        <v>0</v>
      </c>
      <c r="AB88" s="81">
        <f t="shared" si="32"/>
        <v>0</v>
      </c>
      <c r="AC88" s="81">
        <f t="shared" si="46"/>
        <v>0</v>
      </c>
      <c r="AD88" s="81">
        <f t="shared" si="62"/>
        <v>0</v>
      </c>
      <c r="AE88" s="81">
        <f t="shared" si="47"/>
        <v>0</v>
      </c>
      <c r="AF88" s="81">
        <f t="shared" si="63"/>
        <v>0</v>
      </c>
      <c r="AG88" s="81">
        <f t="shared" si="48"/>
        <v>0</v>
      </c>
    </row>
    <row r="89" spans="1:33" ht="15.5" x14ac:dyDescent="0.35">
      <c r="A89" s="57">
        <v>77</v>
      </c>
      <c r="B89" s="80">
        <f t="shared" si="49"/>
        <v>0</v>
      </c>
      <c r="C89" s="81">
        <f t="shared" si="50"/>
        <v>0</v>
      </c>
      <c r="D89" s="81">
        <f t="shared" si="51"/>
        <v>0</v>
      </c>
      <c r="E89" s="81">
        <f t="shared" si="34"/>
        <v>0</v>
      </c>
      <c r="F89" s="81">
        <f t="shared" si="52"/>
        <v>0</v>
      </c>
      <c r="G89" s="81">
        <f t="shared" si="35"/>
        <v>0</v>
      </c>
      <c r="H89" s="81">
        <f t="shared" si="53"/>
        <v>0</v>
      </c>
      <c r="I89" s="81">
        <f t="shared" si="36"/>
        <v>0</v>
      </c>
      <c r="J89" s="81">
        <f t="shared" si="54"/>
        <v>0</v>
      </c>
      <c r="K89" s="81">
        <f t="shared" si="37"/>
        <v>0</v>
      </c>
      <c r="L89" s="81">
        <f t="shared" si="55"/>
        <v>0</v>
      </c>
      <c r="M89" s="81">
        <f t="shared" si="38"/>
        <v>0</v>
      </c>
      <c r="N89" s="81">
        <f t="shared" si="56"/>
        <v>0</v>
      </c>
      <c r="O89" s="81">
        <f t="shared" si="39"/>
        <v>0</v>
      </c>
      <c r="P89" s="81">
        <f t="shared" si="57"/>
        <v>0</v>
      </c>
      <c r="Q89" s="81">
        <f t="shared" si="40"/>
        <v>0</v>
      </c>
      <c r="R89" s="81">
        <f t="shared" si="58"/>
        <v>0</v>
      </c>
      <c r="S89" s="81">
        <f t="shared" si="41"/>
        <v>0</v>
      </c>
      <c r="T89" s="81">
        <f t="shared" si="59"/>
        <v>0</v>
      </c>
      <c r="U89" s="81">
        <f t="shared" si="42"/>
        <v>0</v>
      </c>
      <c r="V89" s="81">
        <f t="shared" si="60"/>
        <v>0</v>
      </c>
      <c r="W89" s="81">
        <f t="shared" si="43"/>
        <v>0</v>
      </c>
      <c r="X89" s="81">
        <f t="shared" si="61"/>
        <v>0</v>
      </c>
      <c r="Y89" s="81">
        <f t="shared" si="44"/>
        <v>0</v>
      </c>
      <c r="Z89" s="81">
        <f t="shared" si="33"/>
        <v>0</v>
      </c>
      <c r="AA89" s="81">
        <f t="shared" si="45"/>
        <v>0</v>
      </c>
      <c r="AB89" s="81">
        <f t="shared" si="32"/>
        <v>0</v>
      </c>
      <c r="AC89" s="81">
        <f t="shared" si="46"/>
        <v>0</v>
      </c>
      <c r="AD89" s="81">
        <f t="shared" si="62"/>
        <v>0</v>
      </c>
      <c r="AE89" s="81">
        <f t="shared" si="47"/>
        <v>0</v>
      </c>
      <c r="AF89" s="81">
        <f t="shared" si="63"/>
        <v>0</v>
      </c>
      <c r="AG89" s="81">
        <f t="shared" si="48"/>
        <v>0</v>
      </c>
    </row>
    <row r="90" spans="1:33" ht="15.5" x14ac:dyDescent="0.35">
      <c r="A90" s="57">
        <v>78</v>
      </c>
      <c r="B90" s="80">
        <f t="shared" si="49"/>
        <v>0</v>
      </c>
      <c r="C90" s="81">
        <f t="shared" si="50"/>
        <v>0</v>
      </c>
      <c r="D90" s="81">
        <f t="shared" si="51"/>
        <v>0</v>
      </c>
      <c r="E90" s="81">
        <f t="shared" si="34"/>
        <v>0</v>
      </c>
      <c r="F90" s="81">
        <f t="shared" si="52"/>
        <v>0</v>
      </c>
      <c r="G90" s="81">
        <f t="shared" si="35"/>
        <v>0</v>
      </c>
      <c r="H90" s="81">
        <f t="shared" si="53"/>
        <v>0</v>
      </c>
      <c r="I90" s="81">
        <f t="shared" si="36"/>
        <v>0</v>
      </c>
      <c r="J90" s="81">
        <f t="shared" si="54"/>
        <v>0</v>
      </c>
      <c r="K90" s="81">
        <f t="shared" si="37"/>
        <v>0</v>
      </c>
      <c r="L90" s="81">
        <f t="shared" si="55"/>
        <v>0</v>
      </c>
      <c r="M90" s="81">
        <f t="shared" si="38"/>
        <v>0</v>
      </c>
      <c r="N90" s="81">
        <f t="shared" si="56"/>
        <v>0</v>
      </c>
      <c r="O90" s="81">
        <f t="shared" si="39"/>
        <v>0</v>
      </c>
      <c r="P90" s="81">
        <f t="shared" si="57"/>
        <v>0</v>
      </c>
      <c r="Q90" s="81">
        <f t="shared" si="40"/>
        <v>0</v>
      </c>
      <c r="R90" s="81">
        <f t="shared" si="58"/>
        <v>0</v>
      </c>
      <c r="S90" s="81">
        <f t="shared" si="41"/>
        <v>0</v>
      </c>
      <c r="T90" s="81">
        <f t="shared" si="59"/>
        <v>0</v>
      </c>
      <c r="U90" s="81">
        <f t="shared" si="42"/>
        <v>0</v>
      </c>
      <c r="V90" s="81">
        <f t="shared" si="60"/>
        <v>0</v>
      </c>
      <c r="W90" s="81">
        <f t="shared" si="43"/>
        <v>0</v>
      </c>
      <c r="X90" s="81">
        <f t="shared" si="61"/>
        <v>0</v>
      </c>
      <c r="Y90" s="81">
        <f t="shared" si="44"/>
        <v>0</v>
      </c>
      <c r="Z90" s="81">
        <f t="shared" si="33"/>
        <v>0</v>
      </c>
      <c r="AA90" s="81">
        <f t="shared" si="45"/>
        <v>0</v>
      </c>
      <c r="AB90" s="81">
        <f t="shared" si="32"/>
        <v>0</v>
      </c>
      <c r="AC90" s="81">
        <f t="shared" si="46"/>
        <v>0</v>
      </c>
      <c r="AD90" s="81">
        <f t="shared" si="62"/>
        <v>0</v>
      </c>
      <c r="AE90" s="81">
        <f t="shared" si="47"/>
        <v>0</v>
      </c>
      <c r="AF90" s="81">
        <f t="shared" si="63"/>
        <v>0</v>
      </c>
      <c r="AG90" s="81">
        <f t="shared" si="48"/>
        <v>0</v>
      </c>
    </row>
    <row r="91" spans="1:33" ht="15.5" x14ac:dyDescent="0.35">
      <c r="A91" s="57">
        <v>79</v>
      </c>
      <c r="B91" s="80">
        <f t="shared" si="49"/>
        <v>0</v>
      </c>
      <c r="C91" s="81">
        <f t="shared" si="50"/>
        <v>0</v>
      </c>
      <c r="D91" s="81">
        <f t="shared" si="51"/>
        <v>0</v>
      </c>
      <c r="E91" s="81">
        <f t="shared" si="34"/>
        <v>0</v>
      </c>
      <c r="F91" s="81">
        <f t="shared" si="52"/>
        <v>0</v>
      </c>
      <c r="G91" s="81">
        <f t="shared" si="35"/>
        <v>0</v>
      </c>
      <c r="H91" s="81">
        <f t="shared" si="53"/>
        <v>0</v>
      </c>
      <c r="I91" s="81">
        <f t="shared" si="36"/>
        <v>0</v>
      </c>
      <c r="J91" s="81">
        <f t="shared" si="54"/>
        <v>0</v>
      </c>
      <c r="K91" s="81">
        <f t="shared" si="37"/>
        <v>0</v>
      </c>
      <c r="L91" s="81">
        <f t="shared" si="55"/>
        <v>0</v>
      </c>
      <c r="M91" s="81">
        <f t="shared" si="38"/>
        <v>0</v>
      </c>
      <c r="N91" s="81">
        <f t="shared" si="56"/>
        <v>0</v>
      </c>
      <c r="O91" s="81">
        <f t="shared" si="39"/>
        <v>0</v>
      </c>
      <c r="P91" s="81">
        <f t="shared" si="57"/>
        <v>0</v>
      </c>
      <c r="Q91" s="81">
        <f t="shared" si="40"/>
        <v>0</v>
      </c>
      <c r="R91" s="81">
        <f t="shared" si="58"/>
        <v>0</v>
      </c>
      <c r="S91" s="81">
        <f t="shared" si="41"/>
        <v>0</v>
      </c>
      <c r="T91" s="81">
        <f t="shared" si="59"/>
        <v>0</v>
      </c>
      <c r="U91" s="81">
        <f t="shared" si="42"/>
        <v>0</v>
      </c>
      <c r="V91" s="81">
        <f t="shared" si="60"/>
        <v>0</v>
      </c>
      <c r="W91" s="81">
        <f t="shared" si="43"/>
        <v>0</v>
      </c>
      <c r="X91" s="81">
        <f t="shared" si="61"/>
        <v>0</v>
      </c>
      <c r="Y91" s="81">
        <f t="shared" si="44"/>
        <v>0</v>
      </c>
      <c r="Z91" s="81">
        <f t="shared" si="33"/>
        <v>0</v>
      </c>
      <c r="AA91" s="81">
        <f t="shared" si="45"/>
        <v>0</v>
      </c>
      <c r="AB91" s="81">
        <f t="shared" si="32"/>
        <v>0</v>
      </c>
      <c r="AC91" s="81">
        <f t="shared" si="46"/>
        <v>0</v>
      </c>
      <c r="AD91" s="81">
        <f t="shared" si="62"/>
        <v>0</v>
      </c>
      <c r="AE91" s="81">
        <f t="shared" si="47"/>
        <v>0</v>
      </c>
      <c r="AF91" s="81">
        <f t="shared" si="63"/>
        <v>0</v>
      </c>
      <c r="AG91" s="81">
        <f t="shared" si="48"/>
        <v>0</v>
      </c>
    </row>
    <row r="92" spans="1:33" ht="15.5" x14ac:dyDescent="0.35">
      <c r="A92" s="57">
        <v>80</v>
      </c>
      <c r="B92" s="80">
        <f t="shared" si="49"/>
        <v>0</v>
      </c>
      <c r="C92" s="81">
        <f t="shared" si="50"/>
        <v>0</v>
      </c>
      <c r="D92" s="81">
        <f t="shared" si="51"/>
        <v>0</v>
      </c>
      <c r="E92" s="81">
        <f t="shared" si="34"/>
        <v>0</v>
      </c>
      <c r="F92" s="81">
        <f t="shared" si="52"/>
        <v>0</v>
      </c>
      <c r="G92" s="81">
        <f t="shared" si="35"/>
        <v>0</v>
      </c>
      <c r="H92" s="81">
        <f t="shared" si="53"/>
        <v>0</v>
      </c>
      <c r="I92" s="81">
        <f t="shared" si="36"/>
        <v>0</v>
      </c>
      <c r="J92" s="81">
        <f t="shared" si="54"/>
        <v>0</v>
      </c>
      <c r="K92" s="81">
        <f t="shared" si="37"/>
        <v>0</v>
      </c>
      <c r="L92" s="81">
        <f t="shared" si="55"/>
        <v>0</v>
      </c>
      <c r="M92" s="81">
        <f t="shared" si="38"/>
        <v>0</v>
      </c>
      <c r="N92" s="81">
        <f t="shared" si="56"/>
        <v>0</v>
      </c>
      <c r="O92" s="81">
        <f t="shared" si="39"/>
        <v>0</v>
      </c>
      <c r="P92" s="81">
        <f t="shared" si="57"/>
        <v>0</v>
      </c>
      <c r="Q92" s="81">
        <f t="shared" si="40"/>
        <v>0</v>
      </c>
      <c r="R92" s="81">
        <f t="shared" si="58"/>
        <v>0</v>
      </c>
      <c r="S92" s="81">
        <f t="shared" si="41"/>
        <v>0</v>
      </c>
      <c r="T92" s="81">
        <f t="shared" si="59"/>
        <v>0</v>
      </c>
      <c r="U92" s="81">
        <f t="shared" si="42"/>
        <v>0</v>
      </c>
      <c r="V92" s="81">
        <f t="shared" si="60"/>
        <v>0</v>
      </c>
      <c r="W92" s="81">
        <f t="shared" si="43"/>
        <v>0</v>
      </c>
      <c r="X92" s="81">
        <f t="shared" si="61"/>
        <v>0</v>
      </c>
      <c r="Y92" s="81">
        <f t="shared" si="44"/>
        <v>0</v>
      </c>
      <c r="Z92" s="81">
        <f t="shared" si="33"/>
        <v>0</v>
      </c>
      <c r="AA92" s="81">
        <f t="shared" si="45"/>
        <v>0</v>
      </c>
      <c r="AB92" s="81">
        <f t="shared" si="32"/>
        <v>0</v>
      </c>
      <c r="AC92" s="81">
        <f t="shared" si="46"/>
        <v>0</v>
      </c>
      <c r="AD92" s="81">
        <f t="shared" si="62"/>
        <v>0</v>
      </c>
      <c r="AE92" s="81">
        <f t="shared" si="47"/>
        <v>0</v>
      </c>
      <c r="AF92" s="81">
        <f t="shared" si="63"/>
        <v>0</v>
      </c>
      <c r="AG92" s="81">
        <f t="shared" si="48"/>
        <v>0</v>
      </c>
    </row>
    <row r="93" spans="1:33" ht="15.5" x14ac:dyDescent="0.35">
      <c r="A93" s="57">
        <v>81</v>
      </c>
      <c r="B93" s="80">
        <f t="shared" si="49"/>
        <v>0</v>
      </c>
      <c r="C93" s="81">
        <f t="shared" si="50"/>
        <v>0</v>
      </c>
      <c r="D93" s="81">
        <f t="shared" si="51"/>
        <v>0</v>
      </c>
      <c r="E93" s="81">
        <f t="shared" si="34"/>
        <v>0</v>
      </c>
      <c r="F93" s="81">
        <f t="shared" si="52"/>
        <v>0</v>
      </c>
      <c r="G93" s="81">
        <f t="shared" si="35"/>
        <v>0</v>
      </c>
      <c r="H93" s="81">
        <f t="shared" si="53"/>
        <v>0</v>
      </c>
      <c r="I93" s="81">
        <f t="shared" si="36"/>
        <v>0</v>
      </c>
      <c r="J93" s="81">
        <f t="shared" si="54"/>
        <v>0</v>
      </c>
      <c r="K93" s="81">
        <f t="shared" si="37"/>
        <v>0</v>
      </c>
      <c r="L93" s="81">
        <f t="shared" si="55"/>
        <v>0</v>
      </c>
      <c r="M93" s="81">
        <f t="shared" si="38"/>
        <v>0</v>
      </c>
      <c r="N93" s="81">
        <f t="shared" si="56"/>
        <v>0</v>
      </c>
      <c r="O93" s="81">
        <f t="shared" si="39"/>
        <v>0</v>
      </c>
      <c r="P93" s="81">
        <f t="shared" si="57"/>
        <v>0</v>
      </c>
      <c r="Q93" s="81">
        <f t="shared" si="40"/>
        <v>0</v>
      </c>
      <c r="R93" s="81">
        <f t="shared" si="58"/>
        <v>0</v>
      </c>
      <c r="S93" s="81">
        <f t="shared" si="41"/>
        <v>0</v>
      </c>
      <c r="T93" s="81">
        <f t="shared" si="59"/>
        <v>0</v>
      </c>
      <c r="U93" s="81">
        <f t="shared" si="42"/>
        <v>0</v>
      </c>
      <c r="V93" s="81">
        <f t="shared" si="60"/>
        <v>0</v>
      </c>
      <c r="W93" s="81">
        <f t="shared" si="43"/>
        <v>0</v>
      </c>
      <c r="X93" s="81">
        <f t="shared" si="61"/>
        <v>0</v>
      </c>
      <c r="Y93" s="81">
        <f t="shared" si="44"/>
        <v>0</v>
      </c>
      <c r="Z93" s="81">
        <f t="shared" si="33"/>
        <v>0</v>
      </c>
      <c r="AA93" s="81">
        <f t="shared" si="45"/>
        <v>0</v>
      </c>
      <c r="AB93" s="81">
        <f t="shared" si="32"/>
        <v>0</v>
      </c>
      <c r="AC93" s="81">
        <f t="shared" si="46"/>
        <v>0</v>
      </c>
      <c r="AD93" s="81">
        <f t="shared" si="62"/>
        <v>0</v>
      </c>
      <c r="AE93" s="81">
        <f t="shared" si="47"/>
        <v>0</v>
      </c>
      <c r="AF93" s="81">
        <f t="shared" si="63"/>
        <v>0</v>
      </c>
      <c r="AG93" s="81">
        <f t="shared" si="48"/>
        <v>0</v>
      </c>
    </row>
    <row r="94" spans="1:33" ht="15.5" x14ac:dyDescent="0.35">
      <c r="A94" s="57">
        <v>82</v>
      </c>
      <c r="B94" s="80">
        <f t="shared" si="49"/>
        <v>0</v>
      </c>
      <c r="C94" s="81">
        <f t="shared" si="50"/>
        <v>0</v>
      </c>
      <c r="D94" s="81">
        <f t="shared" si="51"/>
        <v>0</v>
      </c>
      <c r="E94" s="81">
        <f t="shared" si="34"/>
        <v>0</v>
      </c>
      <c r="F94" s="81">
        <f t="shared" si="52"/>
        <v>0</v>
      </c>
      <c r="G94" s="81">
        <f t="shared" si="35"/>
        <v>0</v>
      </c>
      <c r="H94" s="81">
        <f t="shared" si="53"/>
        <v>0</v>
      </c>
      <c r="I94" s="81">
        <f t="shared" si="36"/>
        <v>0</v>
      </c>
      <c r="J94" s="81">
        <f t="shared" si="54"/>
        <v>0</v>
      </c>
      <c r="K94" s="81">
        <f t="shared" si="37"/>
        <v>0</v>
      </c>
      <c r="L94" s="81">
        <f t="shared" si="55"/>
        <v>0</v>
      </c>
      <c r="M94" s="81">
        <f t="shared" si="38"/>
        <v>0</v>
      </c>
      <c r="N94" s="81">
        <f t="shared" si="56"/>
        <v>0</v>
      </c>
      <c r="O94" s="81">
        <f t="shared" si="39"/>
        <v>0</v>
      </c>
      <c r="P94" s="81">
        <f t="shared" si="57"/>
        <v>0</v>
      </c>
      <c r="Q94" s="81">
        <f t="shared" si="40"/>
        <v>0</v>
      </c>
      <c r="R94" s="81">
        <f t="shared" si="58"/>
        <v>0</v>
      </c>
      <c r="S94" s="81">
        <f t="shared" si="41"/>
        <v>0</v>
      </c>
      <c r="T94" s="81">
        <f t="shared" si="59"/>
        <v>0</v>
      </c>
      <c r="U94" s="81">
        <f t="shared" si="42"/>
        <v>0</v>
      </c>
      <c r="V94" s="81">
        <f t="shared" si="60"/>
        <v>0</v>
      </c>
      <c r="W94" s="81">
        <f t="shared" si="43"/>
        <v>0</v>
      </c>
      <c r="X94" s="81">
        <f t="shared" si="61"/>
        <v>0</v>
      </c>
      <c r="Y94" s="81">
        <f t="shared" si="44"/>
        <v>0</v>
      </c>
      <c r="Z94" s="81">
        <f t="shared" si="33"/>
        <v>0</v>
      </c>
      <c r="AA94" s="81">
        <f t="shared" si="45"/>
        <v>0</v>
      </c>
      <c r="AB94" s="81">
        <f t="shared" ref="AB94:AB132" si="64">IF(AND(((AC93-$H$2+Z94+X94+V94+T94-AC$9-AA$9-Y$9-W$9-U$9-S$9-Q$9-O$9-M$9-K$9-I$9-G$9-E$9-C$9)&lt;=0),AA94+Y94+W94+U94=0),AC93, IF(AND((AC93-AC$9-$H$2)&lt;=0, AA94=0),AC93,IF(AC$9&gt;=AC93, AC93, IF(AND(AA94=0,Y94=0,W94=0,U94=0), $H$2-Z94-X94-V94-T94+AC$9+AA$9+Y$9+W$9+U$9+S$9+Q$9+O$9+M$9+K$9+I$9+G$9+E$9+C$9,AC$9))))</f>
        <v>0</v>
      </c>
      <c r="AC94" s="81">
        <f t="shared" si="46"/>
        <v>0</v>
      </c>
      <c r="AD94" s="81">
        <f t="shared" si="62"/>
        <v>0</v>
      </c>
      <c r="AE94" s="81">
        <f t="shared" si="47"/>
        <v>0</v>
      </c>
      <c r="AF94" s="81">
        <f t="shared" si="63"/>
        <v>0</v>
      </c>
      <c r="AG94" s="81">
        <f t="shared" si="48"/>
        <v>0</v>
      </c>
    </row>
    <row r="95" spans="1:33" ht="15.5" x14ac:dyDescent="0.35">
      <c r="A95" s="57">
        <v>83</v>
      </c>
      <c r="B95" s="80">
        <f t="shared" si="49"/>
        <v>0</v>
      </c>
      <c r="C95" s="81">
        <f t="shared" si="50"/>
        <v>0</v>
      </c>
      <c r="D95" s="81">
        <f t="shared" si="51"/>
        <v>0</v>
      </c>
      <c r="E95" s="81">
        <f t="shared" si="34"/>
        <v>0</v>
      </c>
      <c r="F95" s="81">
        <f t="shared" si="52"/>
        <v>0</v>
      </c>
      <c r="G95" s="81">
        <f t="shared" si="35"/>
        <v>0</v>
      </c>
      <c r="H95" s="81">
        <f t="shared" si="53"/>
        <v>0</v>
      </c>
      <c r="I95" s="81">
        <f t="shared" si="36"/>
        <v>0</v>
      </c>
      <c r="J95" s="81">
        <f t="shared" si="54"/>
        <v>0</v>
      </c>
      <c r="K95" s="81">
        <f t="shared" si="37"/>
        <v>0</v>
      </c>
      <c r="L95" s="81">
        <f t="shared" si="55"/>
        <v>0</v>
      </c>
      <c r="M95" s="81">
        <f t="shared" si="38"/>
        <v>0</v>
      </c>
      <c r="N95" s="81">
        <f t="shared" si="56"/>
        <v>0</v>
      </c>
      <c r="O95" s="81">
        <f t="shared" si="39"/>
        <v>0</v>
      </c>
      <c r="P95" s="81">
        <f t="shared" si="57"/>
        <v>0</v>
      </c>
      <c r="Q95" s="81">
        <f t="shared" si="40"/>
        <v>0</v>
      </c>
      <c r="R95" s="81">
        <f t="shared" si="58"/>
        <v>0</v>
      </c>
      <c r="S95" s="81">
        <f t="shared" si="41"/>
        <v>0</v>
      </c>
      <c r="T95" s="81">
        <f t="shared" si="59"/>
        <v>0</v>
      </c>
      <c r="U95" s="81">
        <f t="shared" si="42"/>
        <v>0</v>
      </c>
      <c r="V95" s="81">
        <f t="shared" si="60"/>
        <v>0</v>
      </c>
      <c r="W95" s="81">
        <f t="shared" si="43"/>
        <v>0</v>
      </c>
      <c r="X95" s="81">
        <f t="shared" si="61"/>
        <v>0</v>
      </c>
      <c r="Y95" s="81">
        <f t="shared" si="44"/>
        <v>0</v>
      </c>
      <c r="Z95" s="81">
        <f t="shared" si="33"/>
        <v>0</v>
      </c>
      <c r="AA95" s="81">
        <f t="shared" si="45"/>
        <v>0</v>
      </c>
      <c r="AB95" s="81">
        <f t="shared" si="64"/>
        <v>0</v>
      </c>
      <c r="AC95" s="81">
        <f t="shared" si="46"/>
        <v>0</v>
      </c>
      <c r="AD95" s="81">
        <f t="shared" si="62"/>
        <v>0</v>
      </c>
      <c r="AE95" s="81">
        <f t="shared" si="47"/>
        <v>0</v>
      </c>
      <c r="AF95" s="81">
        <f t="shared" si="63"/>
        <v>0</v>
      </c>
      <c r="AG95" s="81">
        <f t="shared" si="48"/>
        <v>0</v>
      </c>
    </row>
    <row r="96" spans="1:33" ht="15.5" x14ac:dyDescent="0.35">
      <c r="A96" s="57">
        <v>84</v>
      </c>
      <c r="B96" s="80">
        <f t="shared" si="49"/>
        <v>0</v>
      </c>
      <c r="C96" s="81">
        <f t="shared" si="50"/>
        <v>0</v>
      </c>
      <c r="D96" s="81">
        <f t="shared" si="51"/>
        <v>0</v>
      </c>
      <c r="E96" s="81">
        <f t="shared" si="34"/>
        <v>0</v>
      </c>
      <c r="F96" s="81">
        <f t="shared" si="52"/>
        <v>0</v>
      </c>
      <c r="G96" s="81">
        <f t="shared" si="35"/>
        <v>0</v>
      </c>
      <c r="H96" s="81">
        <f t="shared" si="53"/>
        <v>0</v>
      </c>
      <c r="I96" s="81">
        <f t="shared" si="36"/>
        <v>0</v>
      </c>
      <c r="J96" s="81">
        <f t="shared" si="54"/>
        <v>0</v>
      </c>
      <c r="K96" s="81">
        <f t="shared" si="37"/>
        <v>0</v>
      </c>
      <c r="L96" s="81">
        <f t="shared" si="55"/>
        <v>0</v>
      </c>
      <c r="M96" s="81">
        <f t="shared" si="38"/>
        <v>0</v>
      </c>
      <c r="N96" s="81">
        <f t="shared" si="56"/>
        <v>0</v>
      </c>
      <c r="O96" s="81">
        <f t="shared" si="39"/>
        <v>0</v>
      </c>
      <c r="P96" s="81">
        <f t="shared" si="57"/>
        <v>0</v>
      </c>
      <c r="Q96" s="81">
        <f t="shared" si="40"/>
        <v>0</v>
      </c>
      <c r="R96" s="81">
        <f t="shared" si="58"/>
        <v>0</v>
      </c>
      <c r="S96" s="81">
        <f t="shared" si="41"/>
        <v>0</v>
      </c>
      <c r="T96" s="81">
        <f t="shared" si="59"/>
        <v>0</v>
      </c>
      <c r="U96" s="81">
        <f t="shared" si="42"/>
        <v>0</v>
      </c>
      <c r="V96" s="81">
        <f t="shared" si="60"/>
        <v>0</v>
      </c>
      <c r="W96" s="81">
        <f t="shared" si="43"/>
        <v>0</v>
      </c>
      <c r="X96" s="81">
        <f t="shared" si="61"/>
        <v>0</v>
      </c>
      <c r="Y96" s="81">
        <f t="shared" si="44"/>
        <v>0</v>
      </c>
      <c r="Z96" s="81">
        <f t="shared" si="33"/>
        <v>0</v>
      </c>
      <c r="AA96" s="81">
        <f t="shared" si="45"/>
        <v>0</v>
      </c>
      <c r="AB96" s="81">
        <f t="shared" si="64"/>
        <v>0</v>
      </c>
      <c r="AC96" s="81">
        <f t="shared" si="46"/>
        <v>0</v>
      </c>
      <c r="AD96" s="81">
        <f t="shared" si="62"/>
        <v>0</v>
      </c>
      <c r="AE96" s="81">
        <f t="shared" si="47"/>
        <v>0</v>
      </c>
      <c r="AF96" s="81">
        <f t="shared" si="63"/>
        <v>0</v>
      </c>
      <c r="AG96" s="81">
        <f t="shared" si="48"/>
        <v>0</v>
      </c>
    </row>
    <row r="97" spans="1:33" ht="15.5" x14ac:dyDescent="0.35">
      <c r="A97" s="57">
        <v>85</v>
      </c>
      <c r="B97" s="80">
        <f t="shared" si="49"/>
        <v>0</v>
      </c>
      <c r="C97" s="81">
        <f t="shared" si="50"/>
        <v>0</v>
      </c>
      <c r="D97" s="81">
        <f t="shared" si="51"/>
        <v>0</v>
      </c>
      <c r="E97" s="81">
        <f t="shared" si="34"/>
        <v>0</v>
      </c>
      <c r="F97" s="81">
        <f t="shared" si="52"/>
        <v>0</v>
      </c>
      <c r="G97" s="81">
        <f t="shared" si="35"/>
        <v>0</v>
      </c>
      <c r="H97" s="81">
        <f t="shared" si="53"/>
        <v>0</v>
      </c>
      <c r="I97" s="81">
        <f t="shared" si="36"/>
        <v>0</v>
      </c>
      <c r="J97" s="81">
        <f t="shared" si="54"/>
        <v>0</v>
      </c>
      <c r="K97" s="81">
        <f t="shared" si="37"/>
        <v>0</v>
      </c>
      <c r="L97" s="81">
        <f t="shared" si="55"/>
        <v>0</v>
      </c>
      <c r="M97" s="81">
        <f t="shared" si="38"/>
        <v>0</v>
      </c>
      <c r="N97" s="81">
        <f t="shared" si="56"/>
        <v>0</v>
      </c>
      <c r="O97" s="81">
        <f t="shared" si="39"/>
        <v>0</v>
      </c>
      <c r="P97" s="81">
        <f t="shared" si="57"/>
        <v>0</v>
      </c>
      <c r="Q97" s="81">
        <f t="shared" si="40"/>
        <v>0</v>
      </c>
      <c r="R97" s="81">
        <f t="shared" si="58"/>
        <v>0</v>
      </c>
      <c r="S97" s="81">
        <f t="shared" si="41"/>
        <v>0</v>
      </c>
      <c r="T97" s="81">
        <f t="shared" si="59"/>
        <v>0</v>
      </c>
      <c r="U97" s="81">
        <f t="shared" si="42"/>
        <v>0</v>
      </c>
      <c r="V97" s="81">
        <f t="shared" si="60"/>
        <v>0</v>
      </c>
      <c r="W97" s="81">
        <f t="shared" si="43"/>
        <v>0</v>
      </c>
      <c r="X97" s="81">
        <f t="shared" si="61"/>
        <v>0</v>
      </c>
      <c r="Y97" s="81">
        <f t="shared" si="44"/>
        <v>0</v>
      </c>
      <c r="Z97" s="81">
        <f t="shared" si="33"/>
        <v>0</v>
      </c>
      <c r="AA97" s="81">
        <f t="shared" si="45"/>
        <v>0</v>
      </c>
      <c r="AB97" s="81">
        <f t="shared" si="64"/>
        <v>0</v>
      </c>
      <c r="AC97" s="81">
        <f t="shared" si="46"/>
        <v>0</v>
      </c>
      <c r="AD97" s="81">
        <f t="shared" si="62"/>
        <v>0</v>
      </c>
      <c r="AE97" s="81">
        <f t="shared" si="47"/>
        <v>0</v>
      </c>
      <c r="AF97" s="81">
        <f t="shared" si="63"/>
        <v>0</v>
      </c>
      <c r="AG97" s="81">
        <f t="shared" si="48"/>
        <v>0</v>
      </c>
    </row>
    <row r="98" spans="1:33" ht="15.5" x14ac:dyDescent="0.35">
      <c r="A98" s="57">
        <v>86</v>
      </c>
      <c r="B98" s="80">
        <f t="shared" si="49"/>
        <v>0</v>
      </c>
      <c r="C98" s="81">
        <f t="shared" si="50"/>
        <v>0</v>
      </c>
      <c r="D98" s="81">
        <f t="shared" si="51"/>
        <v>0</v>
      </c>
      <c r="E98" s="81">
        <f t="shared" si="34"/>
        <v>0</v>
      </c>
      <c r="F98" s="81">
        <f t="shared" si="52"/>
        <v>0</v>
      </c>
      <c r="G98" s="81">
        <f t="shared" si="35"/>
        <v>0</v>
      </c>
      <c r="H98" s="81">
        <f t="shared" si="53"/>
        <v>0</v>
      </c>
      <c r="I98" s="81">
        <f t="shared" si="36"/>
        <v>0</v>
      </c>
      <c r="J98" s="81">
        <f t="shared" si="54"/>
        <v>0</v>
      </c>
      <c r="K98" s="81">
        <f t="shared" si="37"/>
        <v>0</v>
      </c>
      <c r="L98" s="81">
        <f t="shared" si="55"/>
        <v>0</v>
      </c>
      <c r="M98" s="81">
        <f t="shared" si="38"/>
        <v>0</v>
      </c>
      <c r="N98" s="81">
        <f t="shared" si="56"/>
        <v>0</v>
      </c>
      <c r="O98" s="81">
        <f t="shared" si="39"/>
        <v>0</v>
      </c>
      <c r="P98" s="81">
        <f t="shared" si="57"/>
        <v>0</v>
      </c>
      <c r="Q98" s="81">
        <f t="shared" si="40"/>
        <v>0</v>
      </c>
      <c r="R98" s="81">
        <f t="shared" si="58"/>
        <v>0</v>
      </c>
      <c r="S98" s="81">
        <f t="shared" si="41"/>
        <v>0</v>
      </c>
      <c r="T98" s="81">
        <f t="shared" si="59"/>
        <v>0</v>
      </c>
      <c r="U98" s="81">
        <f t="shared" si="42"/>
        <v>0</v>
      </c>
      <c r="V98" s="81">
        <f t="shared" si="60"/>
        <v>0</v>
      </c>
      <c r="W98" s="81">
        <f t="shared" si="43"/>
        <v>0</v>
      </c>
      <c r="X98" s="81">
        <f t="shared" si="61"/>
        <v>0</v>
      </c>
      <c r="Y98" s="81">
        <f t="shared" si="44"/>
        <v>0</v>
      </c>
      <c r="Z98" s="81">
        <f t="shared" si="33"/>
        <v>0</v>
      </c>
      <c r="AA98" s="81">
        <f t="shared" si="45"/>
        <v>0</v>
      </c>
      <c r="AB98" s="81">
        <f t="shared" si="64"/>
        <v>0</v>
      </c>
      <c r="AC98" s="81">
        <f t="shared" si="46"/>
        <v>0</v>
      </c>
      <c r="AD98" s="81">
        <f t="shared" si="62"/>
        <v>0</v>
      </c>
      <c r="AE98" s="81">
        <f t="shared" si="47"/>
        <v>0</v>
      </c>
      <c r="AF98" s="81">
        <f t="shared" si="63"/>
        <v>0</v>
      </c>
      <c r="AG98" s="81">
        <f t="shared" si="48"/>
        <v>0</v>
      </c>
    </row>
    <row r="99" spans="1:33" ht="15.5" x14ac:dyDescent="0.35">
      <c r="A99" s="57">
        <v>87</v>
      </c>
      <c r="B99" s="80">
        <f t="shared" si="49"/>
        <v>0</v>
      </c>
      <c r="C99" s="81">
        <f t="shared" si="50"/>
        <v>0</v>
      </c>
      <c r="D99" s="81">
        <f t="shared" si="51"/>
        <v>0</v>
      </c>
      <c r="E99" s="81">
        <f t="shared" si="34"/>
        <v>0</v>
      </c>
      <c r="F99" s="81">
        <f t="shared" si="52"/>
        <v>0</v>
      </c>
      <c r="G99" s="81">
        <f t="shared" si="35"/>
        <v>0</v>
      </c>
      <c r="H99" s="81">
        <f t="shared" si="53"/>
        <v>0</v>
      </c>
      <c r="I99" s="81">
        <f t="shared" si="36"/>
        <v>0</v>
      </c>
      <c r="J99" s="81">
        <f t="shared" si="54"/>
        <v>0</v>
      </c>
      <c r="K99" s="81">
        <f t="shared" si="37"/>
        <v>0</v>
      </c>
      <c r="L99" s="81">
        <f t="shared" si="55"/>
        <v>0</v>
      </c>
      <c r="M99" s="81">
        <f t="shared" si="38"/>
        <v>0</v>
      </c>
      <c r="N99" s="81">
        <f t="shared" si="56"/>
        <v>0</v>
      </c>
      <c r="O99" s="81">
        <f t="shared" si="39"/>
        <v>0</v>
      </c>
      <c r="P99" s="81">
        <f t="shared" si="57"/>
        <v>0</v>
      </c>
      <c r="Q99" s="81">
        <f t="shared" si="40"/>
        <v>0</v>
      </c>
      <c r="R99" s="81">
        <f t="shared" si="58"/>
        <v>0</v>
      </c>
      <c r="S99" s="81">
        <f t="shared" si="41"/>
        <v>0</v>
      </c>
      <c r="T99" s="81">
        <f t="shared" si="59"/>
        <v>0</v>
      </c>
      <c r="U99" s="81">
        <f t="shared" si="42"/>
        <v>0</v>
      </c>
      <c r="V99" s="81">
        <f t="shared" si="60"/>
        <v>0</v>
      </c>
      <c r="W99" s="81">
        <f t="shared" si="43"/>
        <v>0</v>
      </c>
      <c r="X99" s="81">
        <f t="shared" si="61"/>
        <v>0</v>
      </c>
      <c r="Y99" s="81">
        <f t="shared" si="44"/>
        <v>0</v>
      </c>
      <c r="Z99" s="81">
        <f t="shared" si="33"/>
        <v>0</v>
      </c>
      <c r="AA99" s="81">
        <f t="shared" si="45"/>
        <v>0</v>
      </c>
      <c r="AB99" s="81">
        <f t="shared" si="64"/>
        <v>0</v>
      </c>
      <c r="AC99" s="81">
        <f t="shared" si="46"/>
        <v>0</v>
      </c>
      <c r="AD99" s="81">
        <f t="shared" si="62"/>
        <v>0</v>
      </c>
      <c r="AE99" s="81">
        <f t="shared" si="47"/>
        <v>0</v>
      </c>
      <c r="AF99" s="81">
        <f t="shared" si="63"/>
        <v>0</v>
      </c>
      <c r="AG99" s="81">
        <f t="shared" si="48"/>
        <v>0</v>
      </c>
    </row>
    <row r="100" spans="1:33" ht="15.5" x14ac:dyDescent="0.35">
      <c r="A100" s="57">
        <v>88</v>
      </c>
      <c r="B100" s="80">
        <f t="shared" si="49"/>
        <v>0</v>
      </c>
      <c r="C100" s="81">
        <f t="shared" si="50"/>
        <v>0</v>
      </c>
      <c r="D100" s="81">
        <f t="shared" si="51"/>
        <v>0</v>
      </c>
      <c r="E100" s="81">
        <f t="shared" si="34"/>
        <v>0</v>
      </c>
      <c r="F100" s="81">
        <f t="shared" si="52"/>
        <v>0</v>
      </c>
      <c r="G100" s="81">
        <f t="shared" si="35"/>
        <v>0</v>
      </c>
      <c r="H100" s="81">
        <f t="shared" si="53"/>
        <v>0</v>
      </c>
      <c r="I100" s="81">
        <f t="shared" si="36"/>
        <v>0</v>
      </c>
      <c r="J100" s="81">
        <f t="shared" si="54"/>
        <v>0</v>
      </c>
      <c r="K100" s="81">
        <f t="shared" si="37"/>
        <v>0</v>
      </c>
      <c r="L100" s="81">
        <f t="shared" si="55"/>
        <v>0</v>
      </c>
      <c r="M100" s="81">
        <f t="shared" si="38"/>
        <v>0</v>
      </c>
      <c r="N100" s="81">
        <f t="shared" si="56"/>
        <v>0</v>
      </c>
      <c r="O100" s="81">
        <f t="shared" si="39"/>
        <v>0</v>
      </c>
      <c r="P100" s="81">
        <f t="shared" si="57"/>
        <v>0</v>
      </c>
      <c r="Q100" s="81">
        <f t="shared" si="40"/>
        <v>0</v>
      </c>
      <c r="R100" s="81">
        <f t="shared" si="58"/>
        <v>0</v>
      </c>
      <c r="S100" s="81">
        <f t="shared" si="41"/>
        <v>0</v>
      </c>
      <c r="T100" s="81">
        <f t="shared" si="59"/>
        <v>0</v>
      </c>
      <c r="U100" s="81">
        <f t="shared" si="42"/>
        <v>0</v>
      </c>
      <c r="V100" s="81">
        <f t="shared" si="60"/>
        <v>0</v>
      </c>
      <c r="W100" s="81">
        <f t="shared" si="43"/>
        <v>0</v>
      </c>
      <c r="X100" s="81">
        <f t="shared" si="61"/>
        <v>0</v>
      </c>
      <c r="Y100" s="81">
        <f t="shared" si="44"/>
        <v>0</v>
      </c>
      <c r="Z100" s="81">
        <f t="shared" si="33"/>
        <v>0</v>
      </c>
      <c r="AA100" s="81">
        <f t="shared" si="45"/>
        <v>0</v>
      </c>
      <c r="AB100" s="81">
        <f t="shared" si="64"/>
        <v>0</v>
      </c>
      <c r="AC100" s="81">
        <f t="shared" si="46"/>
        <v>0</v>
      </c>
      <c r="AD100" s="81">
        <f t="shared" si="62"/>
        <v>0</v>
      </c>
      <c r="AE100" s="81">
        <f t="shared" si="47"/>
        <v>0</v>
      </c>
      <c r="AF100" s="81">
        <f t="shared" si="63"/>
        <v>0</v>
      </c>
      <c r="AG100" s="81">
        <f t="shared" si="48"/>
        <v>0</v>
      </c>
    </row>
    <row r="101" spans="1:33" ht="15.5" x14ac:dyDescent="0.35">
      <c r="A101" s="57">
        <v>89</v>
      </c>
      <c r="B101" s="80">
        <f t="shared" si="49"/>
        <v>0</v>
      </c>
      <c r="C101" s="81">
        <f t="shared" si="50"/>
        <v>0</v>
      </c>
      <c r="D101" s="81">
        <f t="shared" si="51"/>
        <v>0</v>
      </c>
      <c r="E101" s="81">
        <f t="shared" si="34"/>
        <v>0</v>
      </c>
      <c r="F101" s="81">
        <f t="shared" si="52"/>
        <v>0</v>
      </c>
      <c r="G101" s="81">
        <f t="shared" si="35"/>
        <v>0</v>
      </c>
      <c r="H101" s="81">
        <f t="shared" si="53"/>
        <v>0</v>
      </c>
      <c r="I101" s="81">
        <f t="shared" si="36"/>
        <v>0</v>
      </c>
      <c r="J101" s="81">
        <f t="shared" si="54"/>
        <v>0</v>
      </c>
      <c r="K101" s="81">
        <f t="shared" si="37"/>
        <v>0</v>
      </c>
      <c r="L101" s="81">
        <f t="shared" si="55"/>
        <v>0</v>
      </c>
      <c r="M101" s="81">
        <f t="shared" si="38"/>
        <v>0</v>
      </c>
      <c r="N101" s="81">
        <f t="shared" si="56"/>
        <v>0</v>
      </c>
      <c r="O101" s="81">
        <f t="shared" si="39"/>
        <v>0</v>
      </c>
      <c r="P101" s="81">
        <f t="shared" si="57"/>
        <v>0</v>
      </c>
      <c r="Q101" s="81">
        <f t="shared" si="40"/>
        <v>0</v>
      </c>
      <c r="R101" s="81">
        <f t="shared" si="58"/>
        <v>0</v>
      </c>
      <c r="S101" s="81">
        <f t="shared" si="41"/>
        <v>0</v>
      </c>
      <c r="T101" s="81">
        <f t="shared" si="59"/>
        <v>0</v>
      </c>
      <c r="U101" s="81">
        <f t="shared" si="42"/>
        <v>0</v>
      </c>
      <c r="V101" s="81">
        <f t="shared" si="60"/>
        <v>0</v>
      </c>
      <c r="W101" s="81">
        <f t="shared" si="43"/>
        <v>0</v>
      </c>
      <c r="X101" s="81">
        <f t="shared" si="61"/>
        <v>0</v>
      </c>
      <c r="Y101" s="81">
        <f t="shared" si="44"/>
        <v>0</v>
      </c>
      <c r="Z101" s="81">
        <f t="shared" ref="Z101:Z132" si="65">IF(AND(((AA100-$H$2+X101+V101+T101+R101-AA$9-Y$9-W$9-U$9-S$9-Q$9-O$9-M$9-K$9-I$9-G$9-E$9-C$9)&lt;=0),Y101+W101+U101+S101=0),AA100, IF(AND((AA100-AA$9-$H$2)&lt;=0, Y101=0),AA100,IF(AA$9&gt;=AA100, AA100, IF(AND(Y101=0,W101=0,U101=0,S101=0), $H$2-X101-V101-T101-R101+AA$9+Y$9+W$9+U$9+S$9+Q$9+O$9+M$9+K$9+I$9+G$9+E$9+C$9,AA$9))))</f>
        <v>0</v>
      </c>
      <c r="AA101" s="81">
        <f t="shared" si="45"/>
        <v>0</v>
      </c>
      <c r="AB101" s="81">
        <f t="shared" si="64"/>
        <v>0</v>
      </c>
      <c r="AC101" s="81">
        <f t="shared" si="46"/>
        <v>0</v>
      </c>
      <c r="AD101" s="81">
        <f t="shared" si="62"/>
        <v>0</v>
      </c>
      <c r="AE101" s="81">
        <f t="shared" si="47"/>
        <v>0</v>
      </c>
      <c r="AF101" s="81">
        <f t="shared" si="63"/>
        <v>0</v>
      </c>
      <c r="AG101" s="81">
        <f t="shared" si="48"/>
        <v>0</v>
      </c>
    </row>
    <row r="102" spans="1:33" ht="15.5" x14ac:dyDescent="0.35">
      <c r="A102" s="57">
        <v>90</v>
      </c>
      <c r="B102" s="80">
        <f t="shared" si="49"/>
        <v>0</v>
      </c>
      <c r="C102" s="81">
        <f t="shared" si="50"/>
        <v>0</v>
      </c>
      <c r="D102" s="81">
        <f t="shared" si="51"/>
        <v>0</v>
      </c>
      <c r="E102" s="81">
        <f t="shared" si="34"/>
        <v>0</v>
      </c>
      <c r="F102" s="81">
        <f t="shared" si="52"/>
        <v>0</v>
      </c>
      <c r="G102" s="81">
        <f t="shared" si="35"/>
        <v>0</v>
      </c>
      <c r="H102" s="81">
        <f t="shared" si="53"/>
        <v>0</v>
      </c>
      <c r="I102" s="81">
        <f t="shared" si="36"/>
        <v>0</v>
      </c>
      <c r="J102" s="81">
        <f t="shared" si="54"/>
        <v>0</v>
      </c>
      <c r="K102" s="81">
        <f t="shared" si="37"/>
        <v>0</v>
      </c>
      <c r="L102" s="81">
        <f t="shared" si="55"/>
        <v>0</v>
      </c>
      <c r="M102" s="81">
        <f t="shared" si="38"/>
        <v>0</v>
      </c>
      <c r="N102" s="81">
        <f t="shared" si="56"/>
        <v>0</v>
      </c>
      <c r="O102" s="81">
        <f t="shared" si="39"/>
        <v>0</v>
      </c>
      <c r="P102" s="81">
        <f t="shared" si="57"/>
        <v>0</v>
      </c>
      <c r="Q102" s="81">
        <f t="shared" si="40"/>
        <v>0</v>
      </c>
      <c r="R102" s="81">
        <f t="shared" si="58"/>
        <v>0</v>
      </c>
      <c r="S102" s="81">
        <f t="shared" si="41"/>
        <v>0</v>
      </c>
      <c r="T102" s="81">
        <f t="shared" si="59"/>
        <v>0</v>
      </c>
      <c r="U102" s="81">
        <f t="shared" si="42"/>
        <v>0</v>
      </c>
      <c r="V102" s="81">
        <f t="shared" si="60"/>
        <v>0</v>
      </c>
      <c r="W102" s="81">
        <f t="shared" si="43"/>
        <v>0</v>
      </c>
      <c r="X102" s="81">
        <f t="shared" si="61"/>
        <v>0</v>
      </c>
      <c r="Y102" s="81">
        <f t="shared" si="44"/>
        <v>0</v>
      </c>
      <c r="Z102" s="81">
        <f t="shared" si="65"/>
        <v>0</v>
      </c>
      <c r="AA102" s="81">
        <f t="shared" si="45"/>
        <v>0</v>
      </c>
      <c r="AB102" s="81">
        <f t="shared" si="64"/>
        <v>0</v>
      </c>
      <c r="AC102" s="81">
        <f t="shared" si="46"/>
        <v>0</v>
      </c>
      <c r="AD102" s="81">
        <f t="shared" si="62"/>
        <v>0</v>
      </c>
      <c r="AE102" s="81">
        <f t="shared" si="47"/>
        <v>0</v>
      </c>
      <c r="AF102" s="81">
        <f t="shared" si="63"/>
        <v>0</v>
      </c>
      <c r="AG102" s="81">
        <f t="shared" si="48"/>
        <v>0</v>
      </c>
    </row>
    <row r="103" spans="1:33" ht="15.5" x14ac:dyDescent="0.35">
      <c r="A103" s="57">
        <v>91</v>
      </c>
      <c r="B103" s="80">
        <f>IF((C102-$H$2-$C$9)&lt;=0,($H$2+(C102-$H$2)),($H$2+$C$9))</f>
        <v>0</v>
      </c>
      <c r="C103" s="81">
        <f t="shared" si="50"/>
        <v>0</v>
      </c>
      <c r="D103" s="81">
        <f t="shared" si="51"/>
        <v>0</v>
      </c>
      <c r="E103" s="81">
        <f t="shared" si="34"/>
        <v>0</v>
      </c>
      <c r="F103" s="81">
        <f t="shared" si="52"/>
        <v>0</v>
      </c>
      <c r="G103" s="81">
        <f t="shared" si="35"/>
        <v>0</v>
      </c>
      <c r="H103" s="81">
        <f t="shared" si="53"/>
        <v>0</v>
      </c>
      <c r="I103" s="81">
        <f t="shared" si="36"/>
        <v>0</v>
      </c>
      <c r="J103" s="81">
        <f t="shared" si="54"/>
        <v>0</v>
      </c>
      <c r="K103" s="81">
        <f t="shared" si="37"/>
        <v>0</v>
      </c>
      <c r="L103" s="81">
        <f t="shared" si="55"/>
        <v>0</v>
      </c>
      <c r="M103" s="81">
        <f t="shared" si="38"/>
        <v>0</v>
      </c>
      <c r="N103" s="81">
        <f t="shared" si="56"/>
        <v>0</v>
      </c>
      <c r="O103" s="81">
        <f t="shared" si="39"/>
        <v>0</v>
      </c>
      <c r="P103" s="81">
        <f t="shared" si="57"/>
        <v>0</v>
      </c>
      <c r="Q103" s="81">
        <f t="shared" si="40"/>
        <v>0</v>
      </c>
      <c r="R103" s="81">
        <f t="shared" si="58"/>
        <v>0</v>
      </c>
      <c r="S103" s="81">
        <f t="shared" si="41"/>
        <v>0</v>
      </c>
      <c r="T103" s="81">
        <f t="shared" si="59"/>
        <v>0</v>
      </c>
      <c r="U103" s="81">
        <f t="shared" si="42"/>
        <v>0</v>
      </c>
      <c r="V103" s="81">
        <f t="shared" si="60"/>
        <v>0</v>
      </c>
      <c r="W103" s="81">
        <f t="shared" si="43"/>
        <v>0</v>
      </c>
      <c r="X103" s="81">
        <f t="shared" si="61"/>
        <v>0</v>
      </c>
      <c r="Y103" s="81">
        <f t="shared" si="44"/>
        <v>0</v>
      </c>
      <c r="Z103" s="81">
        <f t="shared" si="65"/>
        <v>0</v>
      </c>
      <c r="AA103" s="81">
        <f t="shared" si="45"/>
        <v>0</v>
      </c>
      <c r="AB103" s="81">
        <f t="shared" si="64"/>
        <v>0</v>
      </c>
      <c r="AC103" s="81">
        <f t="shared" si="46"/>
        <v>0</v>
      </c>
      <c r="AD103" s="81">
        <f t="shared" si="62"/>
        <v>0</v>
      </c>
      <c r="AE103" s="81">
        <f t="shared" si="47"/>
        <v>0</v>
      </c>
      <c r="AF103" s="81">
        <f t="shared" si="63"/>
        <v>0</v>
      </c>
      <c r="AG103" s="81">
        <f t="shared" si="48"/>
        <v>0</v>
      </c>
    </row>
    <row r="104" spans="1:33" ht="15.5" x14ac:dyDescent="0.35">
      <c r="A104" s="57">
        <v>92</v>
      </c>
      <c r="B104" s="80">
        <f t="shared" si="49"/>
        <v>0</v>
      </c>
      <c r="C104" s="81">
        <f t="shared" si="50"/>
        <v>0</v>
      </c>
      <c r="D104" s="81">
        <f t="shared" si="51"/>
        <v>0</v>
      </c>
      <c r="E104" s="81">
        <f t="shared" si="34"/>
        <v>0</v>
      </c>
      <c r="F104" s="81">
        <f t="shared" si="52"/>
        <v>0</v>
      </c>
      <c r="G104" s="81">
        <f t="shared" si="35"/>
        <v>0</v>
      </c>
      <c r="H104" s="81">
        <f t="shared" si="53"/>
        <v>0</v>
      </c>
      <c r="I104" s="81">
        <f t="shared" si="36"/>
        <v>0</v>
      </c>
      <c r="J104" s="81">
        <f t="shared" si="54"/>
        <v>0</v>
      </c>
      <c r="K104" s="81">
        <f t="shared" si="37"/>
        <v>0</v>
      </c>
      <c r="L104" s="81">
        <f t="shared" si="55"/>
        <v>0</v>
      </c>
      <c r="M104" s="81">
        <f t="shared" si="38"/>
        <v>0</v>
      </c>
      <c r="N104" s="81">
        <f t="shared" si="56"/>
        <v>0</v>
      </c>
      <c r="O104" s="81">
        <f t="shared" si="39"/>
        <v>0</v>
      </c>
      <c r="P104" s="81">
        <f t="shared" si="57"/>
        <v>0</v>
      </c>
      <c r="Q104" s="81">
        <f t="shared" si="40"/>
        <v>0</v>
      </c>
      <c r="R104" s="81">
        <f t="shared" si="58"/>
        <v>0</v>
      </c>
      <c r="S104" s="81">
        <f t="shared" si="41"/>
        <v>0</v>
      </c>
      <c r="T104" s="81">
        <f t="shared" si="59"/>
        <v>0</v>
      </c>
      <c r="U104" s="81">
        <f t="shared" si="42"/>
        <v>0</v>
      </c>
      <c r="V104" s="81">
        <f t="shared" si="60"/>
        <v>0</v>
      </c>
      <c r="W104" s="81">
        <f t="shared" si="43"/>
        <v>0</v>
      </c>
      <c r="X104" s="81">
        <f t="shared" si="61"/>
        <v>0</v>
      </c>
      <c r="Y104" s="81">
        <f t="shared" si="44"/>
        <v>0</v>
      </c>
      <c r="Z104" s="81">
        <f t="shared" si="65"/>
        <v>0</v>
      </c>
      <c r="AA104" s="81">
        <f t="shared" si="45"/>
        <v>0</v>
      </c>
      <c r="AB104" s="81">
        <f t="shared" si="64"/>
        <v>0</v>
      </c>
      <c r="AC104" s="81">
        <f t="shared" si="46"/>
        <v>0</v>
      </c>
      <c r="AD104" s="81">
        <f t="shared" si="62"/>
        <v>0</v>
      </c>
      <c r="AE104" s="81">
        <f t="shared" si="47"/>
        <v>0</v>
      </c>
      <c r="AF104" s="81">
        <f t="shared" si="63"/>
        <v>0</v>
      </c>
      <c r="AG104" s="81">
        <f t="shared" si="48"/>
        <v>0</v>
      </c>
    </row>
    <row r="105" spans="1:33" ht="15.5" x14ac:dyDescent="0.35">
      <c r="A105" s="57">
        <v>93</v>
      </c>
      <c r="B105" s="80">
        <f t="shared" si="49"/>
        <v>0</v>
      </c>
      <c r="C105" s="81">
        <f t="shared" si="50"/>
        <v>0</v>
      </c>
      <c r="D105" s="81">
        <f t="shared" si="51"/>
        <v>0</v>
      </c>
      <c r="E105" s="81">
        <f t="shared" si="34"/>
        <v>0</v>
      </c>
      <c r="F105" s="81">
        <f t="shared" si="52"/>
        <v>0</v>
      </c>
      <c r="G105" s="81">
        <f t="shared" si="35"/>
        <v>0</v>
      </c>
      <c r="H105" s="81">
        <f t="shared" si="53"/>
        <v>0</v>
      </c>
      <c r="I105" s="81">
        <f t="shared" si="36"/>
        <v>0</v>
      </c>
      <c r="J105" s="81">
        <f t="shared" si="54"/>
        <v>0</v>
      </c>
      <c r="K105" s="81">
        <f t="shared" si="37"/>
        <v>0</v>
      </c>
      <c r="L105" s="81">
        <f t="shared" si="55"/>
        <v>0</v>
      </c>
      <c r="M105" s="81">
        <f t="shared" si="38"/>
        <v>0</v>
      </c>
      <c r="N105" s="81">
        <f t="shared" si="56"/>
        <v>0</v>
      </c>
      <c r="O105" s="81">
        <f t="shared" si="39"/>
        <v>0</v>
      </c>
      <c r="P105" s="81">
        <f t="shared" si="57"/>
        <v>0</v>
      </c>
      <c r="Q105" s="81">
        <f t="shared" si="40"/>
        <v>0</v>
      </c>
      <c r="R105" s="81">
        <f t="shared" si="58"/>
        <v>0</v>
      </c>
      <c r="S105" s="81">
        <f t="shared" si="41"/>
        <v>0</v>
      </c>
      <c r="T105" s="81">
        <f t="shared" si="59"/>
        <v>0</v>
      </c>
      <c r="U105" s="81">
        <f t="shared" si="42"/>
        <v>0</v>
      </c>
      <c r="V105" s="81">
        <f t="shared" si="60"/>
        <v>0</v>
      </c>
      <c r="W105" s="81">
        <f t="shared" si="43"/>
        <v>0</v>
      </c>
      <c r="X105" s="81">
        <f t="shared" si="61"/>
        <v>0</v>
      </c>
      <c r="Y105" s="81">
        <f t="shared" si="44"/>
        <v>0</v>
      </c>
      <c r="Z105" s="81">
        <f t="shared" si="65"/>
        <v>0</v>
      </c>
      <c r="AA105" s="81">
        <f t="shared" si="45"/>
        <v>0</v>
      </c>
      <c r="AB105" s="81">
        <f t="shared" si="64"/>
        <v>0</v>
      </c>
      <c r="AC105" s="81">
        <f t="shared" si="46"/>
        <v>0</v>
      </c>
      <c r="AD105" s="81">
        <f t="shared" si="62"/>
        <v>0</v>
      </c>
      <c r="AE105" s="81">
        <f t="shared" si="47"/>
        <v>0</v>
      </c>
      <c r="AF105" s="81">
        <f t="shared" si="63"/>
        <v>0</v>
      </c>
      <c r="AG105" s="81">
        <f t="shared" si="48"/>
        <v>0</v>
      </c>
    </row>
    <row r="106" spans="1:33" ht="15.5" x14ac:dyDescent="0.35">
      <c r="A106" s="57">
        <v>94</v>
      </c>
      <c r="B106" s="80">
        <f t="shared" si="49"/>
        <v>0</v>
      </c>
      <c r="C106" s="81">
        <f t="shared" si="50"/>
        <v>0</v>
      </c>
      <c r="D106" s="81">
        <f t="shared" si="51"/>
        <v>0</v>
      </c>
      <c r="E106" s="81">
        <f t="shared" si="34"/>
        <v>0</v>
      </c>
      <c r="F106" s="81">
        <f t="shared" si="52"/>
        <v>0</v>
      </c>
      <c r="G106" s="81">
        <f t="shared" si="35"/>
        <v>0</v>
      </c>
      <c r="H106" s="81">
        <f t="shared" si="53"/>
        <v>0</v>
      </c>
      <c r="I106" s="81">
        <f t="shared" si="36"/>
        <v>0</v>
      </c>
      <c r="J106" s="81">
        <f t="shared" si="54"/>
        <v>0</v>
      </c>
      <c r="K106" s="81">
        <f t="shared" si="37"/>
        <v>0</v>
      </c>
      <c r="L106" s="81">
        <f t="shared" si="55"/>
        <v>0</v>
      </c>
      <c r="M106" s="81">
        <f t="shared" si="38"/>
        <v>0</v>
      </c>
      <c r="N106" s="81">
        <f t="shared" si="56"/>
        <v>0</v>
      </c>
      <c r="O106" s="81">
        <f t="shared" si="39"/>
        <v>0</v>
      </c>
      <c r="P106" s="81">
        <f t="shared" si="57"/>
        <v>0</v>
      </c>
      <c r="Q106" s="81">
        <f t="shared" si="40"/>
        <v>0</v>
      </c>
      <c r="R106" s="81">
        <f t="shared" si="58"/>
        <v>0</v>
      </c>
      <c r="S106" s="81">
        <f t="shared" si="41"/>
        <v>0</v>
      </c>
      <c r="T106" s="81">
        <f t="shared" si="59"/>
        <v>0</v>
      </c>
      <c r="U106" s="81">
        <f t="shared" si="42"/>
        <v>0</v>
      </c>
      <c r="V106" s="81">
        <f t="shared" si="60"/>
        <v>0</v>
      </c>
      <c r="W106" s="81">
        <f t="shared" si="43"/>
        <v>0</v>
      </c>
      <c r="X106" s="81">
        <f t="shared" si="61"/>
        <v>0</v>
      </c>
      <c r="Y106" s="81">
        <f t="shared" si="44"/>
        <v>0</v>
      </c>
      <c r="Z106" s="81">
        <f t="shared" si="65"/>
        <v>0</v>
      </c>
      <c r="AA106" s="81">
        <f t="shared" si="45"/>
        <v>0</v>
      </c>
      <c r="AB106" s="81">
        <f t="shared" si="64"/>
        <v>0</v>
      </c>
      <c r="AC106" s="81">
        <f t="shared" si="46"/>
        <v>0</v>
      </c>
      <c r="AD106" s="81">
        <f t="shared" si="62"/>
        <v>0</v>
      </c>
      <c r="AE106" s="81">
        <f t="shared" si="47"/>
        <v>0</v>
      </c>
      <c r="AF106" s="81">
        <f t="shared" si="63"/>
        <v>0</v>
      </c>
      <c r="AG106" s="81">
        <f t="shared" si="48"/>
        <v>0</v>
      </c>
    </row>
    <row r="107" spans="1:33" ht="15.5" x14ac:dyDescent="0.35">
      <c r="A107" s="57">
        <v>95</v>
      </c>
      <c r="B107" s="80">
        <f t="shared" si="49"/>
        <v>0</v>
      </c>
      <c r="C107" s="81">
        <f t="shared" si="50"/>
        <v>0</v>
      </c>
      <c r="D107" s="81">
        <f t="shared" si="51"/>
        <v>0</v>
      </c>
      <c r="E107" s="81">
        <f t="shared" si="34"/>
        <v>0</v>
      </c>
      <c r="F107" s="81">
        <f t="shared" si="52"/>
        <v>0</v>
      </c>
      <c r="G107" s="81">
        <f t="shared" si="35"/>
        <v>0</v>
      </c>
      <c r="H107" s="81">
        <f t="shared" si="53"/>
        <v>0</v>
      </c>
      <c r="I107" s="81">
        <f t="shared" si="36"/>
        <v>0</v>
      </c>
      <c r="J107" s="81">
        <f t="shared" si="54"/>
        <v>0</v>
      </c>
      <c r="K107" s="81">
        <f t="shared" si="37"/>
        <v>0</v>
      </c>
      <c r="L107" s="81">
        <f t="shared" si="55"/>
        <v>0</v>
      </c>
      <c r="M107" s="81">
        <f t="shared" si="38"/>
        <v>0</v>
      </c>
      <c r="N107" s="81">
        <f t="shared" si="56"/>
        <v>0</v>
      </c>
      <c r="O107" s="81">
        <f t="shared" si="39"/>
        <v>0</v>
      </c>
      <c r="P107" s="81">
        <f t="shared" si="57"/>
        <v>0</v>
      </c>
      <c r="Q107" s="81">
        <f t="shared" si="40"/>
        <v>0</v>
      </c>
      <c r="R107" s="81">
        <f t="shared" si="58"/>
        <v>0</v>
      </c>
      <c r="S107" s="81">
        <f t="shared" si="41"/>
        <v>0</v>
      </c>
      <c r="T107" s="81">
        <f t="shared" si="59"/>
        <v>0</v>
      </c>
      <c r="U107" s="81">
        <f t="shared" si="42"/>
        <v>0</v>
      </c>
      <c r="V107" s="81">
        <f t="shared" si="60"/>
        <v>0</v>
      </c>
      <c r="W107" s="81">
        <f t="shared" si="43"/>
        <v>0</v>
      </c>
      <c r="X107" s="81">
        <f t="shared" si="61"/>
        <v>0</v>
      </c>
      <c r="Y107" s="81">
        <f t="shared" si="44"/>
        <v>0</v>
      </c>
      <c r="Z107" s="81">
        <f t="shared" si="65"/>
        <v>0</v>
      </c>
      <c r="AA107" s="81">
        <f t="shared" si="45"/>
        <v>0</v>
      </c>
      <c r="AB107" s="81">
        <f t="shared" si="64"/>
        <v>0</v>
      </c>
      <c r="AC107" s="81">
        <f t="shared" si="46"/>
        <v>0</v>
      </c>
      <c r="AD107" s="81">
        <f t="shared" si="62"/>
        <v>0</v>
      </c>
      <c r="AE107" s="81">
        <f t="shared" si="47"/>
        <v>0</v>
      </c>
      <c r="AF107" s="81">
        <f t="shared" si="63"/>
        <v>0</v>
      </c>
      <c r="AG107" s="81">
        <f t="shared" si="48"/>
        <v>0</v>
      </c>
    </row>
    <row r="108" spans="1:33" ht="15.5" x14ac:dyDescent="0.35">
      <c r="A108" s="57">
        <v>96</v>
      </c>
      <c r="B108" s="80">
        <f t="shared" si="49"/>
        <v>0</v>
      </c>
      <c r="C108" s="81">
        <f t="shared" si="50"/>
        <v>0</v>
      </c>
      <c r="D108" s="81">
        <f t="shared" si="51"/>
        <v>0</v>
      </c>
      <c r="E108" s="81">
        <f t="shared" si="34"/>
        <v>0</v>
      </c>
      <c r="F108" s="81">
        <f t="shared" si="52"/>
        <v>0</v>
      </c>
      <c r="G108" s="81">
        <f t="shared" si="35"/>
        <v>0</v>
      </c>
      <c r="H108" s="81">
        <f t="shared" si="53"/>
        <v>0</v>
      </c>
      <c r="I108" s="81">
        <f t="shared" si="36"/>
        <v>0</v>
      </c>
      <c r="J108" s="81">
        <f t="shared" si="54"/>
        <v>0</v>
      </c>
      <c r="K108" s="81">
        <f t="shared" si="37"/>
        <v>0</v>
      </c>
      <c r="L108" s="81">
        <f t="shared" si="55"/>
        <v>0</v>
      </c>
      <c r="M108" s="81">
        <f t="shared" si="38"/>
        <v>0</v>
      </c>
      <c r="N108" s="81">
        <f t="shared" si="56"/>
        <v>0</v>
      </c>
      <c r="O108" s="81">
        <f t="shared" si="39"/>
        <v>0</v>
      </c>
      <c r="P108" s="81">
        <f t="shared" si="57"/>
        <v>0</v>
      </c>
      <c r="Q108" s="81">
        <f t="shared" si="40"/>
        <v>0</v>
      </c>
      <c r="R108" s="81">
        <f t="shared" si="58"/>
        <v>0</v>
      </c>
      <c r="S108" s="81">
        <f t="shared" si="41"/>
        <v>0</v>
      </c>
      <c r="T108" s="81">
        <f t="shared" si="59"/>
        <v>0</v>
      </c>
      <c r="U108" s="81">
        <f t="shared" si="42"/>
        <v>0</v>
      </c>
      <c r="V108" s="81">
        <f t="shared" si="60"/>
        <v>0</v>
      </c>
      <c r="W108" s="81">
        <f t="shared" si="43"/>
        <v>0</v>
      </c>
      <c r="X108" s="81">
        <f t="shared" si="61"/>
        <v>0</v>
      </c>
      <c r="Y108" s="81">
        <f t="shared" si="44"/>
        <v>0</v>
      </c>
      <c r="Z108" s="81">
        <f t="shared" si="65"/>
        <v>0</v>
      </c>
      <c r="AA108" s="81">
        <f t="shared" si="45"/>
        <v>0</v>
      </c>
      <c r="AB108" s="81">
        <f t="shared" si="64"/>
        <v>0</v>
      </c>
      <c r="AC108" s="81">
        <f t="shared" si="46"/>
        <v>0</v>
      </c>
      <c r="AD108" s="81">
        <f t="shared" si="62"/>
        <v>0</v>
      </c>
      <c r="AE108" s="81">
        <f t="shared" si="47"/>
        <v>0</v>
      </c>
      <c r="AF108" s="81">
        <f t="shared" si="63"/>
        <v>0</v>
      </c>
      <c r="AG108" s="81">
        <f t="shared" si="48"/>
        <v>0</v>
      </c>
    </row>
    <row r="109" spans="1:33" ht="15.5" x14ac:dyDescent="0.35">
      <c r="A109" s="57">
        <v>97</v>
      </c>
      <c r="B109" s="80">
        <f t="shared" si="49"/>
        <v>0</v>
      </c>
      <c r="C109" s="81">
        <f t="shared" si="50"/>
        <v>0</v>
      </c>
      <c r="D109" s="81">
        <f t="shared" si="51"/>
        <v>0</v>
      </c>
      <c r="E109" s="81">
        <f t="shared" si="34"/>
        <v>0</v>
      </c>
      <c r="F109" s="81">
        <f t="shared" si="52"/>
        <v>0</v>
      </c>
      <c r="G109" s="81">
        <f t="shared" si="35"/>
        <v>0</v>
      </c>
      <c r="H109" s="81">
        <f t="shared" si="53"/>
        <v>0</v>
      </c>
      <c r="I109" s="81">
        <f t="shared" si="36"/>
        <v>0</v>
      </c>
      <c r="J109" s="81">
        <f t="shared" si="54"/>
        <v>0</v>
      </c>
      <c r="K109" s="81">
        <f t="shared" si="37"/>
        <v>0</v>
      </c>
      <c r="L109" s="81">
        <f t="shared" si="55"/>
        <v>0</v>
      </c>
      <c r="M109" s="81">
        <f t="shared" si="38"/>
        <v>0</v>
      </c>
      <c r="N109" s="81">
        <f t="shared" si="56"/>
        <v>0</v>
      </c>
      <c r="O109" s="81">
        <f t="shared" si="39"/>
        <v>0</v>
      </c>
      <c r="P109" s="81">
        <f t="shared" si="57"/>
        <v>0</v>
      </c>
      <c r="Q109" s="81">
        <f t="shared" si="40"/>
        <v>0</v>
      </c>
      <c r="R109" s="81">
        <f t="shared" si="58"/>
        <v>0</v>
      </c>
      <c r="S109" s="81">
        <f t="shared" si="41"/>
        <v>0</v>
      </c>
      <c r="T109" s="81">
        <f t="shared" si="59"/>
        <v>0</v>
      </c>
      <c r="U109" s="81">
        <f t="shared" si="42"/>
        <v>0</v>
      </c>
      <c r="V109" s="81">
        <f t="shared" si="60"/>
        <v>0</v>
      </c>
      <c r="W109" s="81">
        <f t="shared" si="43"/>
        <v>0</v>
      </c>
      <c r="X109" s="81">
        <f t="shared" si="61"/>
        <v>0</v>
      </c>
      <c r="Y109" s="81">
        <f t="shared" si="44"/>
        <v>0</v>
      </c>
      <c r="Z109" s="81">
        <f t="shared" si="65"/>
        <v>0</v>
      </c>
      <c r="AA109" s="81">
        <f t="shared" si="45"/>
        <v>0</v>
      </c>
      <c r="AB109" s="81">
        <f t="shared" si="64"/>
        <v>0</v>
      </c>
      <c r="AC109" s="81">
        <f t="shared" si="46"/>
        <v>0</v>
      </c>
      <c r="AD109" s="81">
        <f t="shared" si="62"/>
        <v>0</v>
      </c>
      <c r="AE109" s="81">
        <f t="shared" si="47"/>
        <v>0</v>
      </c>
      <c r="AF109" s="81">
        <f t="shared" si="63"/>
        <v>0</v>
      </c>
      <c r="AG109" s="81">
        <f t="shared" si="48"/>
        <v>0</v>
      </c>
    </row>
    <row r="110" spans="1:33" ht="15.5" x14ac:dyDescent="0.35">
      <c r="A110" s="57">
        <v>98</v>
      </c>
      <c r="B110" s="80">
        <f t="shared" si="49"/>
        <v>0</v>
      </c>
      <c r="C110" s="81">
        <f t="shared" si="50"/>
        <v>0</v>
      </c>
      <c r="D110" s="81">
        <f t="shared" si="51"/>
        <v>0</v>
      </c>
      <c r="E110" s="81">
        <f t="shared" si="34"/>
        <v>0</v>
      </c>
      <c r="F110" s="81">
        <f t="shared" si="52"/>
        <v>0</v>
      </c>
      <c r="G110" s="81">
        <f t="shared" si="35"/>
        <v>0</v>
      </c>
      <c r="H110" s="81">
        <f t="shared" si="53"/>
        <v>0</v>
      </c>
      <c r="I110" s="81">
        <f t="shared" si="36"/>
        <v>0</v>
      </c>
      <c r="J110" s="81">
        <f t="shared" si="54"/>
        <v>0</v>
      </c>
      <c r="K110" s="81">
        <f t="shared" si="37"/>
        <v>0</v>
      </c>
      <c r="L110" s="81">
        <f t="shared" si="55"/>
        <v>0</v>
      </c>
      <c r="M110" s="81">
        <f t="shared" si="38"/>
        <v>0</v>
      </c>
      <c r="N110" s="81">
        <f t="shared" si="56"/>
        <v>0</v>
      </c>
      <c r="O110" s="81">
        <f t="shared" si="39"/>
        <v>0</v>
      </c>
      <c r="P110" s="81">
        <f t="shared" si="57"/>
        <v>0</v>
      </c>
      <c r="Q110" s="81">
        <f t="shared" si="40"/>
        <v>0</v>
      </c>
      <c r="R110" s="81">
        <f t="shared" si="58"/>
        <v>0</v>
      </c>
      <c r="S110" s="81">
        <f t="shared" si="41"/>
        <v>0</v>
      </c>
      <c r="T110" s="81">
        <f t="shared" si="59"/>
        <v>0</v>
      </c>
      <c r="U110" s="81">
        <f t="shared" si="42"/>
        <v>0</v>
      </c>
      <c r="V110" s="81">
        <f t="shared" si="60"/>
        <v>0</v>
      </c>
      <c r="W110" s="81">
        <f t="shared" si="43"/>
        <v>0</v>
      </c>
      <c r="X110" s="81">
        <f t="shared" si="61"/>
        <v>0</v>
      </c>
      <c r="Y110" s="81">
        <f t="shared" si="44"/>
        <v>0</v>
      </c>
      <c r="Z110" s="81">
        <f t="shared" si="65"/>
        <v>0</v>
      </c>
      <c r="AA110" s="81">
        <f t="shared" si="45"/>
        <v>0</v>
      </c>
      <c r="AB110" s="81">
        <f t="shared" si="64"/>
        <v>0</v>
      </c>
      <c r="AC110" s="81">
        <f t="shared" si="46"/>
        <v>0</v>
      </c>
      <c r="AD110" s="81">
        <f t="shared" si="62"/>
        <v>0</v>
      </c>
      <c r="AE110" s="81">
        <f t="shared" si="47"/>
        <v>0</v>
      </c>
      <c r="AF110" s="81">
        <f t="shared" si="63"/>
        <v>0</v>
      </c>
      <c r="AG110" s="81">
        <f t="shared" si="48"/>
        <v>0</v>
      </c>
    </row>
    <row r="111" spans="1:33" ht="15.5" x14ac:dyDescent="0.35">
      <c r="A111" s="57">
        <v>99</v>
      </c>
      <c r="B111" s="80">
        <f t="shared" si="49"/>
        <v>0</v>
      </c>
      <c r="C111" s="81">
        <f t="shared" si="50"/>
        <v>0</v>
      </c>
      <c r="D111" s="81">
        <f t="shared" si="51"/>
        <v>0</v>
      </c>
      <c r="E111" s="81">
        <f t="shared" si="34"/>
        <v>0</v>
      </c>
      <c r="F111" s="81">
        <f t="shared" si="52"/>
        <v>0</v>
      </c>
      <c r="G111" s="81">
        <f t="shared" si="35"/>
        <v>0</v>
      </c>
      <c r="H111" s="81">
        <f t="shared" si="53"/>
        <v>0</v>
      </c>
      <c r="I111" s="81">
        <f t="shared" si="36"/>
        <v>0</v>
      </c>
      <c r="J111" s="81">
        <f t="shared" si="54"/>
        <v>0</v>
      </c>
      <c r="K111" s="81">
        <f t="shared" si="37"/>
        <v>0</v>
      </c>
      <c r="L111" s="81">
        <f t="shared" si="55"/>
        <v>0</v>
      </c>
      <c r="M111" s="81">
        <f t="shared" si="38"/>
        <v>0</v>
      </c>
      <c r="N111" s="81">
        <f t="shared" si="56"/>
        <v>0</v>
      </c>
      <c r="O111" s="81">
        <f t="shared" si="39"/>
        <v>0</v>
      </c>
      <c r="P111" s="81">
        <f t="shared" si="57"/>
        <v>0</v>
      </c>
      <c r="Q111" s="81">
        <f t="shared" si="40"/>
        <v>0</v>
      </c>
      <c r="R111" s="81">
        <f t="shared" si="58"/>
        <v>0</v>
      </c>
      <c r="S111" s="81">
        <f t="shared" si="41"/>
        <v>0</v>
      </c>
      <c r="T111" s="81">
        <f t="shared" si="59"/>
        <v>0</v>
      </c>
      <c r="U111" s="81">
        <f t="shared" si="42"/>
        <v>0</v>
      </c>
      <c r="V111" s="81">
        <f t="shared" si="60"/>
        <v>0</v>
      </c>
      <c r="W111" s="81">
        <f t="shared" si="43"/>
        <v>0</v>
      </c>
      <c r="X111" s="81">
        <f t="shared" si="61"/>
        <v>0</v>
      </c>
      <c r="Y111" s="81">
        <f t="shared" si="44"/>
        <v>0</v>
      </c>
      <c r="Z111" s="81">
        <f t="shared" si="65"/>
        <v>0</v>
      </c>
      <c r="AA111" s="81">
        <f t="shared" si="45"/>
        <v>0</v>
      </c>
      <c r="AB111" s="81">
        <f t="shared" si="64"/>
        <v>0</v>
      </c>
      <c r="AC111" s="81">
        <f t="shared" si="46"/>
        <v>0</v>
      </c>
      <c r="AD111" s="81">
        <f t="shared" si="62"/>
        <v>0</v>
      </c>
      <c r="AE111" s="81">
        <f t="shared" si="47"/>
        <v>0</v>
      </c>
      <c r="AF111" s="81">
        <f t="shared" si="63"/>
        <v>0</v>
      </c>
      <c r="AG111" s="81">
        <f t="shared" si="48"/>
        <v>0</v>
      </c>
    </row>
    <row r="112" spans="1:33" ht="15.5" x14ac:dyDescent="0.35">
      <c r="A112" s="57">
        <v>100</v>
      </c>
      <c r="B112" s="80">
        <f t="shared" si="49"/>
        <v>0</v>
      </c>
      <c r="C112" s="81">
        <f t="shared" si="50"/>
        <v>0</v>
      </c>
      <c r="D112" s="81">
        <f t="shared" si="51"/>
        <v>0</v>
      </c>
      <c r="E112" s="81">
        <f t="shared" si="34"/>
        <v>0</v>
      </c>
      <c r="F112" s="81">
        <f t="shared" si="52"/>
        <v>0</v>
      </c>
      <c r="G112" s="81">
        <f t="shared" si="35"/>
        <v>0</v>
      </c>
      <c r="H112" s="81">
        <f t="shared" si="53"/>
        <v>0</v>
      </c>
      <c r="I112" s="81">
        <f t="shared" si="36"/>
        <v>0</v>
      </c>
      <c r="J112" s="81">
        <f t="shared" si="54"/>
        <v>0</v>
      </c>
      <c r="K112" s="81">
        <f t="shared" si="37"/>
        <v>0</v>
      </c>
      <c r="L112" s="81">
        <f t="shared" si="55"/>
        <v>0</v>
      </c>
      <c r="M112" s="81">
        <f t="shared" si="38"/>
        <v>0</v>
      </c>
      <c r="N112" s="81">
        <f t="shared" si="56"/>
        <v>0</v>
      </c>
      <c r="O112" s="81">
        <f t="shared" si="39"/>
        <v>0</v>
      </c>
      <c r="P112" s="81">
        <f t="shared" si="57"/>
        <v>0</v>
      </c>
      <c r="Q112" s="81">
        <f t="shared" si="40"/>
        <v>0</v>
      </c>
      <c r="R112" s="81">
        <f t="shared" si="58"/>
        <v>0</v>
      </c>
      <c r="S112" s="81">
        <f t="shared" si="41"/>
        <v>0</v>
      </c>
      <c r="T112" s="81">
        <f t="shared" si="59"/>
        <v>0</v>
      </c>
      <c r="U112" s="81">
        <f t="shared" si="42"/>
        <v>0</v>
      </c>
      <c r="V112" s="81">
        <f t="shared" si="60"/>
        <v>0</v>
      </c>
      <c r="W112" s="81">
        <f t="shared" si="43"/>
        <v>0</v>
      </c>
      <c r="X112" s="81">
        <f t="shared" si="61"/>
        <v>0</v>
      </c>
      <c r="Y112" s="81">
        <f t="shared" si="44"/>
        <v>0</v>
      </c>
      <c r="Z112" s="81">
        <f t="shared" si="65"/>
        <v>0</v>
      </c>
      <c r="AA112" s="81">
        <f t="shared" si="45"/>
        <v>0</v>
      </c>
      <c r="AB112" s="81">
        <f t="shared" si="64"/>
        <v>0</v>
      </c>
      <c r="AC112" s="81">
        <f t="shared" si="46"/>
        <v>0</v>
      </c>
      <c r="AD112" s="81">
        <f t="shared" si="62"/>
        <v>0</v>
      </c>
      <c r="AE112" s="81">
        <f t="shared" si="47"/>
        <v>0</v>
      </c>
      <c r="AF112" s="81">
        <f t="shared" si="63"/>
        <v>0</v>
      </c>
      <c r="AG112" s="81">
        <f t="shared" si="48"/>
        <v>0</v>
      </c>
    </row>
    <row r="113" spans="1:33" ht="15.5" x14ac:dyDescent="0.35">
      <c r="A113" s="57">
        <v>101</v>
      </c>
      <c r="B113" s="80">
        <f t="shared" si="49"/>
        <v>0</v>
      </c>
      <c r="C113" s="81">
        <f t="shared" si="50"/>
        <v>0</v>
      </c>
      <c r="D113" s="81">
        <f t="shared" si="51"/>
        <v>0</v>
      </c>
      <c r="E113" s="81">
        <f t="shared" si="34"/>
        <v>0</v>
      </c>
      <c r="F113" s="81">
        <f t="shared" si="52"/>
        <v>0</v>
      </c>
      <c r="G113" s="81">
        <f t="shared" si="35"/>
        <v>0</v>
      </c>
      <c r="H113" s="81">
        <f t="shared" si="53"/>
        <v>0</v>
      </c>
      <c r="I113" s="81">
        <f t="shared" si="36"/>
        <v>0</v>
      </c>
      <c r="J113" s="81">
        <f t="shared" si="54"/>
        <v>0</v>
      </c>
      <c r="K113" s="81">
        <f t="shared" si="37"/>
        <v>0</v>
      </c>
      <c r="L113" s="81">
        <f t="shared" si="55"/>
        <v>0</v>
      </c>
      <c r="M113" s="81">
        <f t="shared" si="38"/>
        <v>0</v>
      </c>
      <c r="N113" s="81">
        <f t="shared" si="56"/>
        <v>0</v>
      </c>
      <c r="O113" s="81">
        <f t="shared" si="39"/>
        <v>0</v>
      </c>
      <c r="P113" s="81">
        <f t="shared" si="57"/>
        <v>0</v>
      </c>
      <c r="Q113" s="81">
        <f t="shared" si="40"/>
        <v>0</v>
      </c>
      <c r="R113" s="81">
        <f t="shared" si="58"/>
        <v>0</v>
      </c>
      <c r="S113" s="81">
        <f t="shared" si="41"/>
        <v>0</v>
      </c>
      <c r="T113" s="81">
        <f t="shared" si="59"/>
        <v>0</v>
      </c>
      <c r="U113" s="81">
        <f t="shared" si="42"/>
        <v>0</v>
      </c>
      <c r="V113" s="81">
        <f t="shared" si="60"/>
        <v>0</v>
      </c>
      <c r="W113" s="81">
        <f t="shared" si="43"/>
        <v>0</v>
      </c>
      <c r="X113" s="81">
        <f t="shared" si="61"/>
        <v>0</v>
      </c>
      <c r="Y113" s="81">
        <f t="shared" si="44"/>
        <v>0</v>
      </c>
      <c r="Z113" s="81">
        <f t="shared" si="65"/>
        <v>0</v>
      </c>
      <c r="AA113" s="81">
        <f t="shared" si="45"/>
        <v>0</v>
      </c>
      <c r="AB113" s="81">
        <f t="shared" si="64"/>
        <v>0</v>
      </c>
      <c r="AC113" s="81">
        <f t="shared" si="46"/>
        <v>0</v>
      </c>
      <c r="AD113" s="81">
        <f t="shared" si="62"/>
        <v>0</v>
      </c>
      <c r="AE113" s="81">
        <f t="shared" si="47"/>
        <v>0</v>
      </c>
      <c r="AF113" s="81">
        <f t="shared" si="63"/>
        <v>0</v>
      </c>
      <c r="AG113" s="81">
        <f t="shared" si="48"/>
        <v>0</v>
      </c>
    </row>
    <row r="114" spans="1:33" ht="15.5" x14ac:dyDescent="0.35">
      <c r="A114" s="57">
        <v>102</v>
      </c>
      <c r="B114" s="80">
        <f t="shared" si="49"/>
        <v>0</v>
      </c>
      <c r="C114" s="81">
        <f t="shared" si="50"/>
        <v>0</v>
      </c>
      <c r="D114" s="81">
        <f t="shared" si="51"/>
        <v>0</v>
      </c>
      <c r="E114" s="81">
        <f t="shared" si="34"/>
        <v>0</v>
      </c>
      <c r="F114" s="81">
        <f t="shared" si="52"/>
        <v>0</v>
      </c>
      <c r="G114" s="81">
        <f t="shared" si="35"/>
        <v>0</v>
      </c>
      <c r="H114" s="81">
        <f t="shared" si="53"/>
        <v>0</v>
      </c>
      <c r="I114" s="81">
        <f t="shared" si="36"/>
        <v>0</v>
      </c>
      <c r="J114" s="81">
        <f t="shared" si="54"/>
        <v>0</v>
      </c>
      <c r="K114" s="81">
        <f t="shared" si="37"/>
        <v>0</v>
      </c>
      <c r="L114" s="81">
        <f t="shared" si="55"/>
        <v>0</v>
      </c>
      <c r="M114" s="81">
        <f t="shared" si="38"/>
        <v>0</v>
      </c>
      <c r="N114" s="81">
        <f t="shared" si="56"/>
        <v>0</v>
      </c>
      <c r="O114" s="81">
        <f t="shared" si="39"/>
        <v>0</v>
      </c>
      <c r="P114" s="81">
        <f t="shared" si="57"/>
        <v>0</v>
      </c>
      <c r="Q114" s="81">
        <f t="shared" si="40"/>
        <v>0</v>
      </c>
      <c r="R114" s="81">
        <f t="shared" si="58"/>
        <v>0</v>
      </c>
      <c r="S114" s="81">
        <f t="shared" si="41"/>
        <v>0</v>
      </c>
      <c r="T114" s="81">
        <f t="shared" si="59"/>
        <v>0</v>
      </c>
      <c r="U114" s="81">
        <f t="shared" si="42"/>
        <v>0</v>
      </c>
      <c r="V114" s="81">
        <f t="shared" si="60"/>
        <v>0</v>
      </c>
      <c r="W114" s="81">
        <f t="shared" si="43"/>
        <v>0</v>
      </c>
      <c r="X114" s="81">
        <f t="shared" si="61"/>
        <v>0</v>
      </c>
      <c r="Y114" s="81">
        <f t="shared" si="44"/>
        <v>0</v>
      </c>
      <c r="Z114" s="81">
        <f t="shared" si="65"/>
        <v>0</v>
      </c>
      <c r="AA114" s="81">
        <f t="shared" si="45"/>
        <v>0</v>
      </c>
      <c r="AB114" s="81">
        <f t="shared" si="64"/>
        <v>0</v>
      </c>
      <c r="AC114" s="81">
        <f t="shared" si="46"/>
        <v>0</v>
      </c>
      <c r="AD114" s="81">
        <f t="shared" si="62"/>
        <v>0</v>
      </c>
      <c r="AE114" s="81">
        <f t="shared" si="47"/>
        <v>0</v>
      </c>
      <c r="AF114" s="81">
        <f t="shared" si="63"/>
        <v>0</v>
      </c>
      <c r="AG114" s="81">
        <f t="shared" si="48"/>
        <v>0</v>
      </c>
    </row>
    <row r="115" spans="1:33" ht="15.5" x14ac:dyDescent="0.35">
      <c r="A115" s="57">
        <v>103</v>
      </c>
      <c r="B115" s="80">
        <f t="shared" si="49"/>
        <v>0</v>
      </c>
      <c r="C115" s="81">
        <f t="shared" si="50"/>
        <v>0</v>
      </c>
      <c r="D115" s="81">
        <f t="shared" si="51"/>
        <v>0</v>
      </c>
      <c r="E115" s="81">
        <f t="shared" si="34"/>
        <v>0</v>
      </c>
      <c r="F115" s="81">
        <f t="shared" si="52"/>
        <v>0</v>
      </c>
      <c r="G115" s="81">
        <f t="shared" si="35"/>
        <v>0</v>
      </c>
      <c r="H115" s="81">
        <f t="shared" si="53"/>
        <v>0</v>
      </c>
      <c r="I115" s="81">
        <f t="shared" si="36"/>
        <v>0</v>
      </c>
      <c r="J115" s="81">
        <f t="shared" si="54"/>
        <v>0</v>
      </c>
      <c r="K115" s="81">
        <f t="shared" si="37"/>
        <v>0</v>
      </c>
      <c r="L115" s="81">
        <f t="shared" si="55"/>
        <v>0</v>
      </c>
      <c r="M115" s="81">
        <f t="shared" si="38"/>
        <v>0</v>
      </c>
      <c r="N115" s="81">
        <f t="shared" si="56"/>
        <v>0</v>
      </c>
      <c r="O115" s="81">
        <f t="shared" si="39"/>
        <v>0</v>
      </c>
      <c r="P115" s="81">
        <f t="shared" si="57"/>
        <v>0</v>
      </c>
      <c r="Q115" s="81">
        <f t="shared" si="40"/>
        <v>0</v>
      </c>
      <c r="R115" s="81">
        <f t="shared" si="58"/>
        <v>0</v>
      </c>
      <c r="S115" s="81">
        <f t="shared" si="41"/>
        <v>0</v>
      </c>
      <c r="T115" s="81">
        <f t="shared" si="59"/>
        <v>0</v>
      </c>
      <c r="U115" s="81">
        <f t="shared" si="42"/>
        <v>0</v>
      </c>
      <c r="V115" s="81">
        <f t="shared" si="60"/>
        <v>0</v>
      </c>
      <c r="W115" s="81">
        <f t="shared" si="43"/>
        <v>0</v>
      </c>
      <c r="X115" s="81">
        <f t="shared" si="61"/>
        <v>0</v>
      </c>
      <c r="Y115" s="81">
        <f t="shared" si="44"/>
        <v>0</v>
      </c>
      <c r="Z115" s="81">
        <f t="shared" si="65"/>
        <v>0</v>
      </c>
      <c r="AA115" s="81">
        <f t="shared" si="45"/>
        <v>0</v>
      </c>
      <c r="AB115" s="81">
        <f t="shared" si="64"/>
        <v>0</v>
      </c>
      <c r="AC115" s="81">
        <f t="shared" si="46"/>
        <v>0</v>
      </c>
      <c r="AD115" s="81">
        <f t="shared" si="62"/>
        <v>0</v>
      </c>
      <c r="AE115" s="81">
        <f t="shared" si="47"/>
        <v>0</v>
      </c>
      <c r="AF115" s="81">
        <f t="shared" si="63"/>
        <v>0</v>
      </c>
      <c r="AG115" s="81">
        <f t="shared" si="48"/>
        <v>0</v>
      </c>
    </row>
    <row r="116" spans="1:33" ht="15.5" x14ac:dyDescent="0.35">
      <c r="A116" s="57">
        <v>104</v>
      </c>
      <c r="B116" s="80">
        <f t="shared" si="49"/>
        <v>0</v>
      </c>
      <c r="C116" s="81">
        <f t="shared" si="50"/>
        <v>0</v>
      </c>
      <c r="D116" s="81">
        <f t="shared" si="51"/>
        <v>0</v>
      </c>
      <c r="E116" s="81">
        <f t="shared" si="34"/>
        <v>0</v>
      </c>
      <c r="F116" s="81">
        <f t="shared" si="52"/>
        <v>0</v>
      </c>
      <c r="G116" s="81">
        <f t="shared" si="35"/>
        <v>0</v>
      </c>
      <c r="H116" s="81">
        <f t="shared" si="53"/>
        <v>0</v>
      </c>
      <c r="I116" s="81">
        <f t="shared" si="36"/>
        <v>0</v>
      </c>
      <c r="J116" s="81">
        <f t="shared" si="54"/>
        <v>0</v>
      </c>
      <c r="K116" s="81">
        <f t="shared" si="37"/>
        <v>0</v>
      </c>
      <c r="L116" s="81">
        <f t="shared" si="55"/>
        <v>0</v>
      </c>
      <c r="M116" s="81">
        <f t="shared" si="38"/>
        <v>0</v>
      </c>
      <c r="N116" s="81">
        <f t="shared" si="56"/>
        <v>0</v>
      </c>
      <c r="O116" s="81">
        <f t="shared" si="39"/>
        <v>0</v>
      </c>
      <c r="P116" s="81">
        <f t="shared" si="57"/>
        <v>0</v>
      </c>
      <c r="Q116" s="81">
        <f t="shared" si="40"/>
        <v>0</v>
      </c>
      <c r="R116" s="81">
        <f t="shared" si="58"/>
        <v>0</v>
      </c>
      <c r="S116" s="81">
        <f t="shared" si="41"/>
        <v>0</v>
      </c>
      <c r="T116" s="81">
        <f t="shared" si="59"/>
        <v>0</v>
      </c>
      <c r="U116" s="81">
        <f t="shared" si="42"/>
        <v>0</v>
      </c>
      <c r="V116" s="81">
        <f t="shared" si="60"/>
        <v>0</v>
      </c>
      <c r="W116" s="81">
        <f t="shared" si="43"/>
        <v>0</v>
      </c>
      <c r="X116" s="81">
        <f t="shared" si="61"/>
        <v>0</v>
      </c>
      <c r="Y116" s="81">
        <f t="shared" si="44"/>
        <v>0</v>
      </c>
      <c r="Z116" s="81">
        <f t="shared" si="65"/>
        <v>0</v>
      </c>
      <c r="AA116" s="81">
        <f t="shared" si="45"/>
        <v>0</v>
      </c>
      <c r="AB116" s="81">
        <f t="shared" si="64"/>
        <v>0</v>
      </c>
      <c r="AC116" s="81">
        <f t="shared" si="46"/>
        <v>0</v>
      </c>
      <c r="AD116" s="81">
        <f t="shared" si="62"/>
        <v>0</v>
      </c>
      <c r="AE116" s="81">
        <f t="shared" si="47"/>
        <v>0</v>
      </c>
      <c r="AF116" s="81">
        <f t="shared" si="63"/>
        <v>0</v>
      </c>
      <c r="AG116" s="81">
        <f t="shared" si="48"/>
        <v>0</v>
      </c>
    </row>
    <row r="117" spans="1:33" ht="15.5" x14ac:dyDescent="0.35">
      <c r="A117" s="57">
        <v>105</v>
      </c>
      <c r="B117" s="80">
        <f t="shared" si="49"/>
        <v>0</v>
      </c>
      <c r="C117" s="81">
        <f t="shared" si="50"/>
        <v>0</v>
      </c>
      <c r="D117" s="81">
        <f t="shared" si="51"/>
        <v>0</v>
      </c>
      <c r="E117" s="81">
        <f t="shared" si="34"/>
        <v>0</v>
      </c>
      <c r="F117" s="81">
        <f t="shared" si="52"/>
        <v>0</v>
      </c>
      <c r="G117" s="81">
        <f t="shared" si="35"/>
        <v>0</v>
      </c>
      <c r="H117" s="81">
        <f t="shared" si="53"/>
        <v>0</v>
      </c>
      <c r="I117" s="81">
        <f t="shared" si="36"/>
        <v>0</v>
      </c>
      <c r="J117" s="81">
        <f t="shared" si="54"/>
        <v>0</v>
      </c>
      <c r="K117" s="81">
        <f t="shared" si="37"/>
        <v>0</v>
      </c>
      <c r="L117" s="81">
        <f t="shared" si="55"/>
        <v>0</v>
      </c>
      <c r="M117" s="81">
        <f t="shared" si="38"/>
        <v>0</v>
      </c>
      <c r="N117" s="81">
        <f t="shared" si="56"/>
        <v>0</v>
      </c>
      <c r="O117" s="81">
        <f t="shared" si="39"/>
        <v>0</v>
      </c>
      <c r="P117" s="81">
        <f t="shared" si="57"/>
        <v>0</v>
      </c>
      <c r="Q117" s="81">
        <f t="shared" si="40"/>
        <v>0</v>
      </c>
      <c r="R117" s="81">
        <f t="shared" si="58"/>
        <v>0</v>
      </c>
      <c r="S117" s="81">
        <f t="shared" si="41"/>
        <v>0</v>
      </c>
      <c r="T117" s="81">
        <f t="shared" si="59"/>
        <v>0</v>
      </c>
      <c r="U117" s="81">
        <f t="shared" si="42"/>
        <v>0</v>
      </c>
      <c r="V117" s="81">
        <f t="shared" si="60"/>
        <v>0</v>
      </c>
      <c r="W117" s="81">
        <f t="shared" si="43"/>
        <v>0</v>
      </c>
      <c r="X117" s="81">
        <f t="shared" si="61"/>
        <v>0</v>
      </c>
      <c r="Y117" s="81">
        <f t="shared" si="44"/>
        <v>0</v>
      </c>
      <c r="Z117" s="81">
        <f t="shared" si="65"/>
        <v>0</v>
      </c>
      <c r="AA117" s="81">
        <f t="shared" si="45"/>
        <v>0</v>
      </c>
      <c r="AB117" s="81">
        <f t="shared" si="64"/>
        <v>0</v>
      </c>
      <c r="AC117" s="81">
        <f t="shared" si="46"/>
        <v>0</v>
      </c>
      <c r="AD117" s="81">
        <f t="shared" si="62"/>
        <v>0</v>
      </c>
      <c r="AE117" s="81">
        <f t="shared" si="47"/>
        <v>0</v>
      </c>
      <c r="AF117" s="81">
        <f t="shared" si="63"/>
        <v>0</v>
      </c>
      <c r="AG117" s="81">
        <f t="shared" si="48"/>
        <v>0</v>
      </c>
    </row>
    <row r="118" spans="1:33" ht="15.5" x14ac:dyDescent="0.35">
      <c r="A118" s="57">
        <v>106</v>
      </c>
      <c r="B118" s="80">
        <f t="shared" si="49"/>
        <v>0</v>
      </c>
      <c r="C118" s="81">
        <f t="shared" si="50"/>
        <v>0</v>
      </c>
      <c r="D118" s="81">
        <f t="shared" si="51"/>
        <v>0</v>
      </c>
      <c r="E118" s="81">
        <f t="shared" si="34"/>
        <v>0</v>
      </c>
      <c r="F118" s="81">
        <f t="shared" si="52"/>
        <v>0</v>
      </c>
      <c r="G118" s="81">
        <f t="shared" si="35"/>
        <v>0</v>
      </c>
      <c r="H118" s="81">
        <f t="shared" si="53"/>
        <v>0</v>
      </c>
      <c r="I118" s="81">
        <f t="shared" si="36"/>
        <v>0</v>
      </c>
      <c r="J118" s="81">
        <f t="shared" si="54"/>
        <v>0</v>
      </c>
      <c r="K118" s="81">
        <f t="shared" si="37"/>
        <v>0</v>
      </c>
      <c r="L118" s="81">
        <f t="shared" si="55"/>
        <v>0</v>
      </c>
      <c r="M118" s="81">
        <f t="shared" si="38"/>
        <v>0</v>
      </c>
      <c r="N118" s="81">
        <f t="shared" si="56"/>
        <v>0</v>
      </c>
      <c r="O118" s="81">
        <f t="shared" si="39"/>
        <v>0</v>
      </c>
      <c r="P118" s="81">
        <f t="shared" si="57"/>
        <v>0</v>
      </c>
      <c r="Q118" s="81">
        <f t="shared" si="40"/>
        <v>0</v>
      </c>
      <c r="R118" s="81">
        <f t="shared" si="58"/>
        <v>0</v>
      </c>
      <c r="S118" s="81">
        <f t="shared" si="41"/>
        <v>0</v>
      </c>
      <c r="T118" s="81">
        <f t="shared" si="59"/>
        <v>0</v>
      </c>
      <c r="U118" s="81">
        <f t="shared" si="42"/>
        <v>0</v>
      </c>
      <c r="V118" s="81">
        <f t="shared" si="60"/>
        <v>0</v>
      </c>
      <c r="W118" s="81">
        <f t="shared" si="43"/>
        <v>0</v>
      </c>
      <c r="X118" s="81">
        <f t="shared" si="61"/>
        <v>0</v>
      </c>
      <c r="Y118" s="81">
        <f t="shared" si="44"/>
        <v>0</v>
      </c>
      <c r="Z118" s="81">
        <f t="shared" si="65"/>
        <v>0</v>
      </c>
      <c r="AA118" s="81">
        <f t="shared" si="45"/>
        <v>0</v>
      </c>
      <c r="AB118" s="81">
        <f t="shared" si="64"/>
        <v>0</v>
      </c>
      <c r="AC118" s="81">
        <f t="shared" si="46"/>
        <v>0</v>
      </c>
      <c r="AD118" s="81">
        <f t="shared" si="62"/>
        <v>0</v>
      </c>
      <c r="AE118" s="81">
        <f t="shared" si="47"/>
        <v>0</v>
      </c>
      <c r="AF118" s="81">
        <f t="shared" si="63"/>
        <v>0</v>
      </c>
      <c r="AG118" s="81">
        <f t="shared" si="48"/>
        <v>0</v>
      </c>
    </row>
    <row r="119" spans="1:33" ht="15.5" x14ac:dyDescent="0.35">
      <c r="A119" s="57">
        <v>107</v>
      </c>
      <c r="B119" s="80">
        <f t="shared" si="49"/>
        <v>0</v>
      </c>
      <c r="C119" s="81">
        <f t="shared" si="50"/>
        <v>0</v>
      </c>
      <c r="D119" s="81">
        <f t="shared" si="51"/>
        <v>0</v>
      </c>
      <c r="E119" s="81">
        <f t="shared" si="34"/>
        <v>0</v>
      </c>
      <c r="F119" s="81">
        <f t="shared" si="52"/>
        <v>0</v>
      </c>
      <c r="G119" s="81">
        <f t="shared" si="35"/>
        <v>0</v>
      </c>
      <c r="H119" s="81">
        <f t="shared" si="53"/>
        <v>0</v>
      </c>
      <c r="I119" s="81">
        <f t="shared" si="36"/>
        <v>0</v>
      </c>
      <c r="J119" s="81">
        <f t="shared" si="54"/>
        <v>0</v>
      </c>
      <c r="K119" s="81">
        <f t="shared" si="37"/>
        <v>0</v>
      </c>
      <c r="L119" s="81">
        <f t="shared" si="55"/>
        <v>0</v>
      </c>
      <c r="M119" s="81">
        <f t="shared" si="38"/>
        <v>0</v>
      </c>
      <c r="N119" s="81">
        <f t="shared" si="56"/>
        <v>0</v>
      </c>
      <c r="O119" s="81">
        <f t="shared" si="39"/>
        <v>0</v>
      </c>
      <c r="P119" s="81">
        <f t="shared" si="57"/>
        <v>0</v>
      </c>
      <c r="Q119" s="81">
        <f t="shared" si="40"/>
        <v>0</v>
      </c>
      <c r="R119" s="81">
        <f t="shared" si="58"/>
        <v>0</v>
      </c>
      <c r="S119" s="81">
        <f t="shared" si="41"/>
        <v>0</v>
      </c>
      <c r="T119" s="81">
        <f t="shared" si="59"/>
        <v>0</v>
      </c>
      <c r="U119" s="81">
        <f t="shared" si="42"/>
        <v>0</v>
      </c>
      <c r="V119" s="81">
        <f t="shared" si="60"/>
        <v>0</v>
      </c>
      <c r="W119" s="81">
        <f t="shared" si="43"/>
        <v>0</v>
      </c>
      <c r="X119" s="81">
        <f t="shared" si="61"/>
        <v>0</v>
      </c>
      <c r="Y119" s="81">
        <f t="shared" si="44"/>
        <v>0</v>
      </c>
      <c r="Z119" s="81">
        <f t="shared" si="65"/>
        <v>0</v>
      </c>
      <c r="AA119" s="81">
        <f t="shared" si="45"/>
        <v>0</v>
      </c>
      <c r="AB119" s="81">
        <f t="shared" si="64"/>
        <v>0</v>
      </c>
      <c r="AC119" s="81">
        <f t="shared" si="46"/>
        <v>0</v>
      </c>
      <c r="AD119" s="81">
        <f t="shared" si="62"/>
        <v>0</v>
      </c>
      <c r="AE119" s="81">
        <f t="shared" si="47"/>
        <v>0</v>
      </c>
      <c r="AF119" s="81">
        <f t="shared" si="63"/>
        <v>0</v>
      </c>
      <c r="AG119" s="81">
        <f t="shared" si="48"/>
        <v>0</v>
      </c>
    </row>
    <row r="120" spans="1:33" ht="15.5" x14ac:dyDescent="0.35">
      <c r="A120" s="57">
        <v>108</v>
      </c>
      <c r="B120" s="80">
        <f t="shared" si="49"/>
        <v>0</v>
      </c>
      <c r="C120" s="81">
        <f t="shared" si="50"/>
        <v>0</v>
      </c>
      <c r="D120" s="81">
        <f t="shared" si="51"/>
        <v>0</v>
      </c>
      <c r="E120" s="81">
        <f t="shared" si="34"/>
        <v>0</v>
      </c>
      <c r="F120" s="81">
        <f t="shared" si="52"/>
        <v>0</v>
      </c>
      <c r="G120" s="81">
        <f t="shared" si="35"/>
        <v>0</v>
      </c>
      <c r="H120" s="81">
        <f t="shared" si="53"/>
        <v>0</v>
      </c>
      <c r="I120" s="81">
        <f t="shared" si="36"/>
        <v>0</v>
      </c>
      <c r="J120" s="81">
        <f t="shared" si="54"/>
        <v>0</v>
      </c>
      <c r="K120" s="81">
        <f t="shared" si="37"/>
        <v>0</v>
      </c>
      <c r="L120" s="81">
        <f t="shared" si="55"/>
        <v>0</v>
      </c>
      <c r="M120" s="81">
        <f t="shared" si="38"/>
        <v>0</v>
      </c>
      <c r="N120" s="81">
        <f t="shared" si="56"/>
        <v>0</v>
      </c>
      <c r="O120" s="81">
        <f t="shared" si="39"/>
        <v>0</v>
      </c>
      <c r="P120" s="81">
        <f t="shared" si="57"/>
        <v>0</v>
      </c>
      <c r="Q120" s="81">
        <f t="shared" si="40"/>
        <v>0</v>
      </c>
      <c r="R120" s="81">
        <f t="shared" si="58"/>
        <v>0</v>
      </c>
      <c r="S120" s="81">
        <f t="shared" si="41"/>
        <v>0</v>
      </c>
      <c r="T120" s="81">
        <f t="shared" si="59"/>
        <v>0</v>
      </c>
      <c r="U120" s="81">
        <f t="shared" si="42"/>
        <v>0</v>
      </c>
      <c r="V120" s="81">
        <f t="shared" si="60"/>
        <v>0</v>
      </c>
      <c r="W120" s="81">
        <f t="shared" si="43"/>
        <v>0</v>
      </c>
      <c r="X120" s="81">
        <f t="shared" si="61"/>
        <v>0</v>
      </c>
      <c r="Y120" s="81">
        <f t="shared" si="44"/>
        <v>0</v>
      </c>
      <c r="Z120" s="81">
        <f t="shared" si="65"/>
        <v>0</v>
      </c>
      <c r="AA120" s="81">
        <f t="shared" si="45"/>
        <v>0</v>
      </c>
      <c r="AB120" s="81">
        <f t="shared" si="64"/>
        <v>0</v>
      </c>
      <c r="AC120" s="81">
        <f t="shared" si="46"/>
        <v>0</v>
      </c>
      <c r="AD120" s="81">
        <f t="shared" si="62"/>
        <v>0</v>
      </c>
      <c r="AE120" s="81">
        <f t="shared" si="47"/>
        <v>0</v>
      </c>
      <c r="AF120" s="81">
        <f t="shared" si="63"/>
        <v>0</v>
      </c>
      <c r="AG120" s="81">
        <f t="shared" si="48"/>
        <v>0</v>
      </c>
    </row>
    <row r="121" spans="1:33" ht="15.5" x14ac:dyDescent="0.35">
      <c r="A121" s="57">
        <v>109</v>
      </c>
      <c r="B121" s="80">
        <f t="shared" si="49"/>
        <v>0</v>
      </c>
      <c r="C121" s="81">
        <f t="shared" si="50"/>
        <v>0</v>
      </c>
      <c r="D121" s="81">
        <f t="shared" si="51"/>
        <v>0</v>
      </c>
      <c r="E121" s="81">
        <f t="shared" si="34"/>
        <v>0</v>
      </c>
      <c r="F121" s="81">
        <f t="shared" si="52"/>
        <v>0</v>
      </c>
      <c r="G121" s="81">
        <f t="shared" si="35"/>
        <v>0</v>
      </c>
      <c r="H121" s="81">
        <f t="shared" si="53"/>
        <v>0</v>
      </c>
      <c r="I121" s="81">
        <f t="shared" si="36"/>
        <v>0</v>
      </c>
      <c r="J121" s="81">
        <f t="shared" si="54"/>
        <v>0</v>
      </c>
      <c r="K121" s="81">
        <f t="shared" si="37"/>
        <v>0</v>
      </c>
      <c r="L121" s="81">
        <f t="shared" si="55"/>
        <v>0</v>
      </c>
      <c r="M121" s="81">
        <f t="shared" si="38"/>
        <v>0</v>
      </c>
      <c r="N121" s="81">
        <f t="shared" si="56"/>
        <v>0</v>
      </c>
      <c r="O121" s="81">
        <f t="shared" si="39"/>
        <v>0</v>
      </c>
      <c r="P121" s="81">
        <f t="shared" si="57"/>
        <v>0</v>
      </c>
      <c r="Q121" s="81">
        <f t="shared" si="40"/>
        <v>0</v>
      </c>
      <c r="R121" s="81">
        <f t="shared" si="58"/>
        <v>0</v>
      </c>
      <c r="S121" s="81">
        <f t="shared" si="41"/>
        <v>0</v>
      </c>
      <c r="T121" s="81">
        <f t="shared" si="59"/>
        <v>0</v>
      </c>
      <c r="U121" s="81">
        <f t="shared" si="42"/>
        <v>0</v>
      </c>
      <c r="V121" s="81">
        <f t="shared" si="60"/>
        <v>0</v>
      </c>
      <c r="W121" s="81">
        <f t="shared" si="43"/>
        <v>0</v>
      </c>
      <c r="X121" s="81">
        <f t="shared" si="61"/>
        <v>0</v>
      </c>
      <c r="Y121" s="81">
        <f t="shared" si="44"/>
        <v>0</v>
      </c>
      <c r="Z121" s="81">
        <f t="shared" si="65"/>
        <v>0</v>
      </c>
      <c r="AA121" s="81">
        <f t="shared" si="45"/>
        <v>0</v>
      </c>
      <c r="AB121" s="81">
        <f t="shared" si="64"/>
        <v>0</v>
      </c>
      <c r="AC121" s="81">
        <f t="shared" si="46"/>
        <v>0</v>
      </c>
      <c r="AD121" s="81">
        <f t="shared" si="62"/>
        <v>0</v>
      </c>
      <c r="AE121" s="81">
        <f t="shared" si="47"/>
        <v>0</v>
      </c>
      <c r="AF121" s="81">
        <f t="shared" si="63"/>
        <v>0</v>
      </c>
      <c r="AG121" s="81">
        <f t="shared" si="48"/>
        <v>0</v>
      </c>
    </row>
    <row r="122" spans="1:33" ht="15.5" x14ac:dyDescent="0.35">
      <c r="A122" s="57">
        <v>110</v>
      </c>
      <c r="B122" s="80">
        <f t="shared" si="49"/>
        <v>0</v>
      </c>
      <c r="C122" s="81">
        <f t="shared" si="50"/>
        <v>0</v>
      </c>
      <c r="D122" s="81">
        <f t="shared" si="51"/>
        <v>0</v>
      </c>
      <c r="E122" s="81">
        <f t="shared" si="34"/>
        <v>0</v>
      </c>
      <c r="F122" s="81">
        <f t="shared" si="52"/>
        <v>0</v>
      </c>
      <c r="G122" s="81">
        <f t="shared" si="35"/>
        <v>0</v>
      </c>
      <c r="H122" s="81">
        <f t="shared" si="53"/>
        <v>0</v>
      </c>
      <c r="I122" s="81">
        <f t="shared" si="36"/>
        <v>0</v>
      </c>
      <c r="J122" s="81">
        <f t="shared" si="54"/>
        <v>0</v>
      </c>
      <c r="K122" s="81">
        <f t="shared" si="37"/>
        <v>0</v>
      </c>
      <c r="L122" s="81">
        <f t="shared" si="55"/>
        <v>0</v>
      </c>
      <c r="M122" s="81">
        <f t="shared" si="38"/>
        <v>0</v>
      </c>
      <c r="N122" s="81">
        <f t="shared" si="56"/>
        <v>0</v>
      </c>
      <c r="O122" s="81">
        <f t="shared" si="39"/>
        <v>0</v>
      </c>
      <c r="P122" s="81">
        <f t="shared" si="57"/>
        <v>0</v>
      </c>
      <c r="Q122" s="81">
        <f t="shared" si="40"/>
        <v>0</v>
      </c>
      <c r="R122" s="81">
        <f t="shared" si="58"/>
        <v>0</v>
      </c>
      <c r="S122" s="81">
        <f t="shared" si="41"/>
        <v>0</v>
      </c>
      <c r="T122" s="81">
        <f t="shared" si="59"/>
        <v>0</v>
      </c>
      <c r="U122" s="81">
        <f t="shared" si="42"/>
        <v>0</v>
      </c>
      <c r="V122" s="81">
        <f t="shared" si="60"/>
        <v>0</v>
      </c>
      <c r="W122" s="81">
        <f t="shared" si="43"/>
        <v>0</v>
      </c>
      <c r="X122" s="81">
        <f t="shared" si="61"/>
        <v>0</v>
      </c>
      <c r="Y122" s="81">
        <f t="shared" si="44"/>
        <v>0</v>
      </c>
      <c r="Z122" s="81">
        <f t="shared" si="65"/>
        <v>0</v>
      </c>
      <c r="AA122" s="81">
        <f t="shared" si="45"/>
        <v>0</v>
      </c>
      <c r="AB122" s="81">
        <f t="shared" si="64"/>
        <v>0</v>
      </c>
      <c r="AC122" s="81">
        <f t="shared" si="46"/>
        <v>0</v>
      </c>
      <c r="AD122" s="81">
        <f t="shared" si="62"/>
        <v>0</v>
      </c>
      <c r="AE122" s="81">
        <f t="shared" si="47"/>
        <v>0</v>
      </c>
      <c r="AF122" s="81">
        <f t="shared" si="63"/>
        <v>0</v>
      </c>
      <c r="AG122" s="81">
        <f t="shared" si="48"/>
        <v>0</v>
      </c>
    </row>
    <row r="123" spans="1:33" ht="15.5" x14ac:dyDescent="0.35">
      <c r="A123" s="57">
        <v>111</v>
      </c>
      <c r="B123" s="80">
        <f t="shared" si="49"/>
        <v>0</v>
      </c>
      <c r="C123" s="81">
        <f t="shared" si="50"/>
        <v>0</v>
      </c>
      <c r="D123" s="81">
        <f t="shared" si="51"/>
        <v>0</v>
      </c>
      <c r="E123" s="81">
        <f t="shared" si="34"/>
        <v>0</v>
      </c>
      <c r="F123" s="81">
        <f t="shared" si="52"/>
        <v>0</v>
      </c>
      <c r="G123" s="81">
        <f t="shared" si="35"/>
        <v>0</v>
      </c>
      <c r="H123" s="81">
        <f t="shared" si="53"/>
        <v>0</v>
      </c>
      <c r="I123" s="81">
        <f t="shared" si="36"/>
        <v>0</v>
      </c>
      <c r="J123" s="81">
        <f t="shared" si="54"/>
        <v>0</v>
      </c>
      <c r="K123" s="81">
        <f t="shared" si="37"/>
        <v>0</v>
      </c>
      <c r="L123" s="81">
        <f t="shared" si="55"/>
        <v>0</v>
      </c>
      <c r="M123" s="81">
        <f t="shared" si="38"/>
        <v>0</v>
      </c>
      <c r="N123" s="81">
        <f t="shared" si="56"/>
        <v>0</v>
      </c>
      <c r="O123" s="81">
        <f t="shared" si="39"/>
        <v>0</v>
      </c>
      <c r="P123" s="81">
        <f t="shared" si="57"/>
        <v>0</v>
      </c>
      <c r="Q123" s="81">
        <f t="shared" si="40"/>
        <v>0</v>
      </c>
      <c r="R123" s="81">
        <f t="shared" si="58"/>
        <v>0</v>
      </c>
      <c r="S123" s="81">
        <f t="shared" si="41"/>
        <v>0</v>
      </c>
      <c r="T123" s="81">
        <f t="shared" si="59"/>
        <v>0</v>
      </c>
      <c r="U123" s="81">
        <f t="shared" si="42"/>
        <v>0</v>
      </c>
      <c r="V123" s="81">
        <f t="shared" si="60"/>
        <v>0</v>
      </c>
      <c r="W123" s="81">
        <f t="shared" si="43"/>
        <v>0</v>
      </c>
      <c r="X123" s="81">
        <f t="shared" si="61"/>
        <v>0</v>
      </c>
      <c r="Y123" s="81">
        <f t="shared" si="44"/>
        <v>0</v>
      </c>
      <c r="Z123" s="81">
        <f t="shared" si="65"/>
        <v>0</v>
      </c>
      <c r="AA123" s="81">
        <f t="shared" si="45"/>
        <v>0</v>
      </c>
      <c r="AB123" s="81">
        <f t="shared" si="64"/>
        <v>0</v>
      </c>
      <c r="AC123" s="81">
        <f t="shared" si="46"/>
        <v>0</v>
      </c>
      <c r="AD123" s="81">
        <f t="shared" si="62"/>
        <v>0</v>
      </c>
      <c r="AE123" s="81">
        <f t="shared" si="47"/>
        <v>0</v>
      </c>
      <c r="AF123" s="81">
        <f t="shared" si="63"/>
        <v>0</v>
      </c>
      <c r="AG123" s="81">
        <f t="shared" si="48"/>
        <v>0</v>
      </c>
    </row>
    <row r="124" spans="1:33" ht="15.5" x14ac:dyDescent="0.35">
      <c r="A124" s="57">
        <v>112</v>
      </c>
      <c r="B124" s="80">
        <f t="shared" si="49"/>
        <v>0</v>
      </c>
      <c r="C124" s="81">
        <f t="shared" si="50"/>
        <v>0</v>
      </c>
      <c r="D124" s="81">
        <f t="shared" si="51"/>
        <v>0</v>
      </c>
      <c r="E124" s="81">
        <f t="shared" si="34"/>
        <v>0</v>
      </c>
      <c r="F124" s="81">
        <f t="shared" si="52"/>
        <v>0</v>
      </c>
      <c r="G124" s="81">
        <f t="shared" si="35"/>
        <v>0</v>
      </c>
      <c r="H124" s="81">
        <f t="shared" si="53"/>
        <v>0</v>
      </c>
      <c r="I124" s="81">
        <f t="shared" si="36"/>
        <v>0</v>
      </c>
      <c r="J124" s="81">
        <f t="shared" si="54"/>
        <v>0</v>
      </c>
      <c r="K124" s="81">
        <f t="shared" si="37"/>
        <v>0</v>
      </c>
      <c r="L124" s="81">
        <f t="shared" si="55"/>
        <v>0</v>
      </c>
      <c r="M124" s="81">
        <f t="shared" si="38"/>
        <v>0</v>
      </c>
      <c r="N124" s="81">
        <f t="shared" si="56"/>
        <v>0</v>
      </c>
      <c r="O124" s="81">
        <f t="shared" si="39"/>
        <v>0</v>
      </c>
      <c r="P124" s="81">
        <f t="shared" si="57"/>
        <v>0</v>
      </c>
      <c r="Q124" s="81">
        <f t="shared" si="40"/>
        <v>0</v>
      </c>
      <c r="R124" s="81">
        <f t="shared" si="58"/>
        <v>0</v>
      </c>
      <c r="S124" s="81">
        <f t="shared" si="41"/>
        <v>0</v>
      </c>
      <c r="T124" s="81">
        <f t="shared" si="59"/>
        <v>0</v>
      </c>
      <c r="U124" s="81">
        <f t="shared" si="42"/>
        <v>0</v>
      </c>
      <c r="V124" s="81">
        <f t="shared" si="60"/>
        <v>0</v>
      </c>
      <c r="W124" s="81">
        <f t="shared" si="43"/>
        <v>0</v>
      </c>
      <c r="X124" s="81">
        <f t="shared" si="61"/>
        <v>0</v>
      </c>
      <c r="Y124" s="81">
        <f t="shared" si="44"/>
        <v>0</v>
      </c>
      <c r="Z124" s="81">
        <f t="shared" si="65"/>
        <v>0</v>
      </c>
      <c r="AA124" s="81">
        <f t="shared" si="45"/>
        <v>0</v>
      </c>
      <c r="AB124" s="81">
        <f t="shared" si="64"/>
        <v>0</v>
      </c>
      <c r="AC124" s="81">
        <f t="shared" si="46"/>
        <v>0</v>
      </c>
      <c r="AD124" s="81">
        <f t="shared" si="62"/>
        <v>0</v>
      </c>
      <c r="AE124" s="81">
        <f t="shared" si="47"/>
        <v>0</v>
      </c>
      <c r="AF124" s="81">
        <f t="shared" si="63"/>
        <v>0</v>
      </c>
      <c r="AG124" s="81">
        <f t="shared" si="48"/>
        <v>0</v>
      </c>
    </row>
    <row r="125" spans="1:33" ht="15.5" x14ac:dyDescent="0.35">
      <c r="A125" s="57">
        <v>113</v>
      </c>
      <c r="B125" s="80">
        <f t="shared" si="49"/>
        <v>0</v>
      </c>
      <c r="C125" s="81">
        <f t="shared" si="50"/>
        <v>0</v>
      </c>
      <c r="D125" s="81">
        <f t="shared" si="51"/>
        <v>0</v>
      </c>
      <c r="E125" s="81">
        <f t="shared" si="34"/>
        <v>0</v>
      </c>
      <c r="F125" s="81">
        <f t="shared" si="52"/>
        <v>0</v>
      </c>
      <c r="G125" s="81">
        <f t="shared" si="35"/>
        <v>0</v>
      </c>
      <c r="H125" s="81">
        <f t="shared" si="53"/>
        <v>0</v>
      </c>
      <c r="I125" s="81">
        <f t="shared" si="36"/>
        <v>0</v>
      </c>
      <c r="J125" s="81">
        <f t="shared" si="54"/>
        <v>0</v>
      </c>
      <c r="K125" s="81">
        <f t="shared" si="37"/>
        <v>0</v>
      </c>
      <c r="L125" s="81">
        <f t="shared" si="55"/>
        <v>0</v>
      </c>
      <c r="M125" s="81">
        <f t="shared" si="38"/>
        <v>0</v>
      </c>
      <c r="N125" s="81">
        <f t="shared" si="56"/>
        <v>0</v>
      </c>
      <c r="O125" s="81">
        <f t="shared" si="39"/>
        <v>0</v>
      </c>
      <c r="P125" s="81">
        <f t="shared" si="57"/>
        <v>0</v>
      </c>
      <c r="Q125" s="81">
        <f t="shared" si="40"/>
        <v>0</v>
      </c>
      <c r="R125" s="81">
        <f t="shared" si="58"/>
        <v>0</v>
      </c>
      <c r="S125" s="81">
        <f t="shared" si="41"/>
        <v>0</v>
      </c>
      <c r="T125" s="81">
        <f t="shared" si="59"/>
        <v>0</v>
      </c>
      <c r="U125" s="81">
        <f t="shared" si="42"/>
        <v>0</v>
      </c>
      <c r="V125" s="81">
        <f t="shared" si="60"/>
        <v>0</v>
      </c>
      <c r="W125" s="81">
        <f t="shared" si="43"/>
        <v>0</v>
      </c>
      <c r="X125" s="81">
        <f t="shared" si="61"/>
        <v>0</v>
      </c>
      <c r="Y125" s="81">
        <f t="shared" si="44"/>
        <v>0</v>
      </c>
      <c r="Z125" s="81">
        <f t="shared" si="65"/>
        <v>0</v>
      </c>
      <c r="AA125" s="81">
        <f t="shared" si="45"/>
        <v>0</v>
      </c>
      <c r="AB125" s="81">
        <f t="shared" si="64"/>
        <v>0</v>
      </c>
      <c r="AC125" s="81">
        <f t="shared" si="46"/>
        <v>0</v>
      </c>
      <c r="AD125" s="81">
        <f t="shared" si="62"/>
        <v>0</v>
      </c>
      <c r="AE125" s="81">
        <f t="shared" si="47"/>
        <v>0</v>
      </c>
      <c r="AF125" s="81">
        <f t="shared" si="63"/>
        <v>0</v>
      </c>
      <c r="AG125" s="81">
        <f t="shared" si="48"/>
        <v>0</v>
      </c>
    </row>
    <row r="126" spans="1:33" ht="15.5" x14ac:dyDescent="0.35">
      <c r="A126" s="57">
        <v>114</v>
      </c>
      <c r="B126" s="80">
        <f t="shared" si="49"/>
        <v>0</v>
      </c>
      <c r="C126" s="81">
        <f t="shared" si="50"/>
        <v>0</v>
      </c>
      <c r="D126" s="81">
        <f t="shared" si="51"/>
        <v>0</v>
      </c>
      <c r="E126" s="81">
        <f t="shared" si="34"/>
        <v>0</v>
      </c>
      <c r="F126" s="81">
        <f t="shared" si="52"/>
        <v>0</v>
      </c>
      <c r="G126" s="81">
        <f t="shared" si="35"/>
        <v>0</v>
      </c>
      <c r="H126" s="81">
        <f t="shared" si="53"/>
        <v>0</v>
      </c>
      <c r="I126" s="81">
        <f t="shared" si="36"/>
        <v>0</v>
      </c>
      <c r="J126" s="81">
        <f t="shared" si="54"/>
        <v>0</v>
      </c>
      <c r="K126" s="81">
        <f t="shared" si="37"/>
        <v>0</v>
      </c>
      <c r="L126" s="81">
        <f t="shared" si="55"/>
        <v>0</v>
      </c>
      <c r="M126" s="81">
        <f t="shared" si="38"/>
        <v>0</v>
      </c>
      <c r="N126" s="81">
        <f t="shared" si="56"/>
        <v>0</v>
      </c>
      <c r="O126" s="81">
        <f t="shared" si="39"/>
        <v>0</v>
      </c>
      <c r="P126" s="81">
        <f t="shared" si="57"/>
        <v>0</v>
      </c>
      <c r="Q126" s="81">
        <f t="shared" si="40"/>
        <v>0</v>
      </c>
      <c r="R126" s="81">
        <f t="shared" si="58"/>
        <v>0</v>
      </c>
      <c r="S126" s="81">
        <f t="shared" si="41"/>
        <v>0</v>
      </c>
      <c r="T126" s="81">
        <f t="shared" si="59"/>
        <v>0</v>
      </c>
      <c r="U126" s="81">
        <f t="shared" si="42"/>
        <v>0</v>
      </c>
      <c r="V126" s="81">
        <f t="shared" si="60"/>
        <v>0</v>
      </c>
      <c r="W126" s="81">
        <f t="shared" si="43"/>
        <v>0</v>
      </c>
      <c r="X126" s="81">
        <f t="shared" si="61"/>
        <v>0</v>
      </c>
      <c r="Y126" s="81">
        <f t="shared" si="44"/>
        <v>0</v>
      </c>
      <c r="Z126" s="81">
        <f t="shared" si="65"/>
        <v>0</v>
      </c>
      <c r="AA126" s="81">
        <f t="shared" si="45"/>
        <v>0</v>
      </c>
      <c r="AB126" s="81">
        <f t="shared" si="64"/>
        <v>0</v>
      </c>
      <c r="AC126" s="81">
        <f t="shared" si="46"/>
        <v>0</v>
      </c>
      <c r="AD126" s="81">
        <f t="shared" si="62"/>
        <v>0</v>
      </c>
      <c r="AE126" s="81">
        <f t="shared" si="47"/>
        <v>0</v>
      </c>
      <c r="AF126" s="81">
        <f t="shared" si="63"/>
        <v>0</v>
      </c>
      <c r="AG126" s="81">
        <f t="shared" si="48"/>
        <v>0</v>
      </c>
    </row>
    <row r="127" spans="1:33" ht="15.5" x14ac:dyDescent="0.35">
      <c r="A127" s="57">
        <v>115</v>
      </c>
      <c r="B127" s="80">
        <f t="shared" si="49"/>
        <v>0</v>
      </c>
      <c r="C127" s="81">
        <f t="shared" si="50"/>
        <v>0</v>
      </c>
      <c r="D127" s="81">
        <f t="shared" si="51"/>
        <v>0</v>
      </c>
      <c r="E127" s="81">
        <f t="shared" si="34"/>
        <v>0</v>
      </c>
      <c r="F127" s="81">
        <f t="shared" si="52"/>
        <v>0</v>
      </c>
      <c r="G127" s="81">
        <f t="shared" si="35"/>
        <v>0</v>
      </c>
      <c r="H127" s="81">
        <f t="shared" si="53"/>
        <v>0</v>
      </c>
      <c r="I127" s="81">
        <f t="shared" si="36"/>
        <v>0</v>
      </c>
      <c r="J127" s="81">
        <f t="shared" si="54"/>
        <v>0</v>
      </c>
      <c r="K127" s="81">
        <f t="shared" si="37"/>
        <v>0</v>
      </c>
      <c r="L127" s="81">
        <f t="shared" si="55"/>
        <v>0</v>
      </c>
      <c r="M127" s="81">
        <f t="shared" si="38"/>
        <v>0</v>
      </c>
      <c r="N127" s="81">
        <f t="shared" si="56"/>
        <v>0</v>
      </c>
      <c r="O127" s="81">
        <f t="shared" si="39"/>
        <v>0</v>
      </c>
      <c r="P127" s="81">
        <f t="shared" si="57"/>
        <v>0</v>
      </c>
      <c r="Q127" s="81">
        <f t="shared" si="40"/>
        <v>0</v>
      </c>
      <c r="R127" s="81">
        <f t="shared" si="58"/>
        <v>0</v>
      </c>
      <c r="S127" s="81">
        <f t="shared" si="41"/>
        <v>0</v>
      </c>
      <c r="T127" s="81">
        <f t="shared" si="59"/>
        <v>0</v>
      </c>
      <c r="U127" s="81">
        <f t="shared" si="42"/>
        <v>0</v>
      </c>
      <c r="V127" s="81">
        <f t="shared" si="60"/>
        <v>0</v>
      </c>
      <c r="W127" s="81">
        <f t="shared" si="43"/>
        <v>0</v>
      </c>
      <c r="X127" s="81">
        <f t="shared" si="61"/>
        <v>0</v>
      </c>
      <c r="Y127" s="81">
        <f t="shared" si="44"/>
        <v>0</v>
      </c>
      <c r="Z127" s="81">
        <f t="shared" si="65"/>
        <v>0</v>
      </c>
      <c r="AA127" s="81">
        <f t="shared" si="45"/>
        <v>0</v>
      </c>
      <c r="AB127" s="81">
        <f t="shared" si="64"/>
        <v>0</v>
      </c>
      <c r="AC127" s="81">
        <f t="shared" si="46"/>
        <v>0</v>
      </c>
      <c r="AD127" s="81">
        <f t="shared" si="62"/>
        <v>0</v>
      </c>
      <c r="AE127" s="81">
        <f t="shared" si="47"/>
        <v>0</v>
      </c>
      <c r="AF127" s="81">
        <f t="shared" si="63"/>
        <v>0</v>
      </c>
      <c r="AG127" s="81">
        <f t="shared" si="48"/>
        <v>0</v>
      </c>
    </row>
    <row r="128" spans="1:33" ht="15.5" x14ac:dyDescent="0.35">
      <c r="A128" s="57">
        <v>116</v>
      </c>
      <c r="B128" s="80">
        <f t="shared" si="49"/>
        <v>0</v>
      </c>
      <c r="C128" s="81">
        <f t="shared" si="50"/>
        <v>0</v>
      </c>
      <c r="D128" s="81">
        <f t="shared" si="51"/>
        <v>0</v>
      </c>
      <c r="E128" s="81">
        <f t="shared" si="34"/>
        <v>0</v>
      </c>
      <c r="F128" s="81">
        <f t="shared" si="52"/>
        <v>0</v>
      </c>
      <c r="G128" s="81">
        <f t="shared" si="35"/>
        <v>0</v>
      </c>
      <c r="H128" s="81">
        <f t="shared" si="53"/>
        <v>0</v>
      </c>
      <c r="I128" s="81">
        <f t="shared" si="36"/>
        <v>0</v>
      </c>
      <c r="J128" s="81">
        <f t="shared" si="54"/>
        <v>0</v>
      </c>
      <c r="K128" s="81">
        <f t="shared" si="37"/>
        <v>0</v>
      </c>
      <c r="L128" s="81">
        <f t="shared" si="55"/>
        <v>0</v>
      </c>
      <c r="M128" s="81">
        <f t="shared" si="38"/>
        <v>0</v>
      </c>
      <c r="N128" s="81">
        <f t="shared" si="56"/>
        <v>0</v>
      </c>
      <c r="O128" s="81">
        <f t="shared" si="39"/>
        <v>0</v>
      </c>
      <c r="P128" s="81">
        <f t="shared" si="57"/>
        <v>0</v>
      </c>
      <c r="Q128" s="81">
        <f t="shared" si="40"/>
        <v>0</v>
      </c>
      <c r="R128" s="81">
        <f t="shared" si="58"/>
        <v>0</v>
      </c>
      <c r="S128" s="81">
        <f t="shared" si="41"/>
        <v>0</v>
      </c>
      <c r="T128" s="81">
        <f t="shared" si="59"/>
        <v>0</v>
      </c>
      <c r="U128" s="81">
        <f t="shared" si="42"/>
        <v>0</v>
      </c>
      <c r="V128" s="81">
        <f t="shared" si="60"/>
        <v>0</v>
      </c>
      <c r="W128" s="81">
        <f t="shared" si="43"/>
        <v>0</v>
      </c>
      <c r="X128" s="81">
        <f t="shared" si="61"/>
        <v>0</v>
      </c>
      <c r="Y128" s="81">
        <f t="shared" si="44"/>
        <v>0</v>
      </c>
      <c r="Z128" s="81">
        <f t="shared" si="65"/>
        <v>0</v>
      </c>
      <c r="AA128" s="81">
        <f t="shared" si="45"/>
        <v>0</v>
      </c>
      <c r="AB128" s="81">
        <f t="shared" si="64"/>
        <v>0</v>
      </c>
      <c r="AC128" s="81">
        <f t="shared" si="46"/>
        <v>0</v>
      </c>
      <c r="AD128" s="81">
        <f t="shared" si="62"/>
        <v>0</v>
      </c>
      <c r="AE128" s="81">
        <f t="shared" si="47"/>
        <v>0</v>
      </c>
      <c r="AF128" s="81">
        <f t="shared" si="63"/>
        <v>0</v>
      </c>
      <c r="AG128" s="81">
        <f t="shared" si="48"/>
        <v>0</v>
      </c>
    </row>
    <row r="129" spans="1:33" ht="15.5" x14ac:dyDescent="0.35">
      <c r="A129" s="57">
        <v>117</v>
      </c>
      <c r="B129" s="80">
        <f t="shared" si="49"/>
        <v>0</v>
      </c>
      <c r="C129" s="81">
        <f t="shared" si="50"/>
        <v>0</v>
      </c>
      <c r="D129" s="81">
        <f t="shared" si="51"/>
        <v>0</v>
      </c>
      <c r="E129" s="81">
        <f t="shared" si="34"/>
        <v>0</v>
      </c>
      <c r="F129" s="81">
        <f t="shared" si="52"/>
        <v>0</v>
      </c>
      <c r="G129" s="81">
        <f t="shared" si="35"/>
        <v>0</v>
      </c>
      <c r="H129" s="81">
        <f t="shared" si="53"/>
        <v>0</v>
      </c>
      <c r="I129" s="81">
        <f t="shared" si="36"/>
        <v>0</v>
      </c>
      <c r="J129" s="81">
        <f t="shared" si="54"/>
        <v>0</v>
      </c>
      <c r="K129" s="81">
        <f t="shared" si="37"/>
        <v>0</v>
      </c>
      <c r="L129" s="81">
        <f t="shared" si="55"/>
        <v>0</v>
      </c>
      <c r="M129" s="81">
        <f t="shared" si="38"/>
        <v>0</v>
      </c>
      <c r="N129" s="81">
        <f t="shared" si="56"/>
        <v>0</v>
      </c>
      <c r="O129" s="81">
        <f t="shared" si="39"/>
        <v>0</v>
      </c>
      <c r="P129" s="81">
        <f t="shared" si="57"/>
        <v>0</v>
      </c>
      <c r="Q129" s="81">
        <f t="shared" si="40"/>
        <v>0</v>
      </c>
      <c r="R129" s="81">
        <f t="shared" si="58"/>
        <v>0</v>
      </c>
      <c r="S129" s="81">
        <f t="shared" si="41"/>
        <v>0</v>
      </c>
      <c r="T129" s="81">
        <f t="shared" si="59"/>
        <v>0</v>
      </c>
      <c r="U129" s="81">
        <f t="shared" si="42"/>
        <v>0</v>
      </c>
      <c r="V129" s="81">
        <f t="shared" si="60"/>
        <v>0</v>
      </c>
      <c r="W129" s="81">
        <f t="shared" si="43"/>
        <v>0</v>
      </c>
      <c r="X129" s="81">
        <f t="shared" si="61"/>
        <v>0</v>
      </c>
      <c r="Y129" s="81">
        <f t="shared" si="44"/>
        <v>0</v>
      </c>
      <c r="Z129" s="81">
        <f t="shared" si="65"/>
        <v>0</v>
      </c>
      <c r="AA129" s="81">
        <f t="shared" si="45"/>
        <v>0</v>
      </c>
      <c r="AB129" s="81">
        <f t="shared" si="64"/>
        <v>0</v>
      </c>
      <c r="AC129" s="81">
        <f t="shared" si="46"/>
        <v>0</v>
      </c>
      <c r="AD129" s="81">
        <f t="shared" si="62"/>
        <v>0</v>
      </c>
      <c r="AE129" s="81">
        <f t="shared" si="47"/>
        <v>0</v>
      </c>
      <c r="AF129" s="81">
        <f t="shared" si="63"/>
        <v>0</v>
      </c>
      <c r="AG129" s="81">
        <f t="shared" si="48"/>
        <v>0</v>
      </c>
    </row>
    <row r="130" spans="1:33" ht="15.5" x14ac:dyDescent="0.35">
      <c r="A130" s="57">
        <v>118</v>
      </c>
      <c r="B130" s="80">
        <f t="shared" si="49"/>
        <v>0</v>
      </c>
      <c r="C130" s="81">
        <f t="shared" si="50"/>
        <v>0</v>
      </c>
      <c r="D130" s="81">
        <f t="shared" si="51"/>
        <v>0</v>
      </c>
      <c r="E130" s="81">
        <f t="shared" si="34"/>
        <v>0</v>
      </c>
      <c r="F130" s="81">
        <f t="shared" si="52"/>
        <v>0</v>
      </c>
      <c r="G130" s="81">
        <f t="shared" si="35"/>
        <v>0</v>
      </c>
      <c r="H130" s="81">
        <f t="shared" si="53"/>
        <v>0</v>
      </c>
      <c r="I130" s="81">
        <f t="shared" si="36"/>
        <v>0</v>
      </c>
      <c r="J130" s="81">
        <f t="shared" si="54"/>
        <v>0</v>
      </c>
      <c r="K130" s="81">
        <f t="shared" si="37"/>
        <v>0</v>
      </c>
      <c r="L130" s="81">
        <f t="shared" si="55"/>
        <v>0</v>
      </c>
      <c r="M130" s="81">
        <f t="shared" si="38"/>
        <v>0</v>
      </c>
      <c r="N130" s="81">
        <f t="shared" si="56"/>
        <v>0</v>
      </c>
      <c r="O130" s="81">
        <f t="shared" si="39"/>
        <v>0</v>
      </c>
      <c r="P130" s="81">
        <f t="shared" si="57"/>
        <v>0</v>
      </c>
      <c r="Q130" s="81">
        <f t="shared" si="40"/>
        <v>0</v>
      </c>
      <c r="R130" s="81">
        <f t="shared" si="58"/>
        <v>0</v>
      </c>
      <c r="S130" s="81">
        <f t="shared" si="41"/>
        <v>0</v>
      </c>
      <c r="T130" s="81">
        <f t="shared" si="59"/>
        <v>0</v>
      </c>
      <c r="U130" s="81">
        <f t="shared" si="42"/>
        <v>0</v>
      </c>
      <c r="V130" s="81">
        <f t="shared" si="60"/>
        <v>0</v>
      </c>
      <c r="W130" s="81">
        <f t="shared" si="43"/>
        <v>0</v>
      </c>
      <c r="X130" s="81">
        <f t="shared" si="61"/>
        <v>0</v>
      </c>
      <c r="Y130" s="81">
        <f t="shared" si="44"/>
        <v>0</v>
      </c>
      <c r="Z130" s="81">
        <f t="shared" si="65"/>
        <v>0</v>
      </c>
      <c r="AA130" s="81">
        <f t="shared" si="45"/>
        <v>0</v>
      </c>
      <c r="AB130" s="81">
        <f t="shared" si="64"/>
        <v>0</v>
      </c>
      <c r="AC130" s="81">
        <f t="shared" si="46"/>
        <v>0</v>
      </c>
      <c r="AD130" s="81">
        <f t="shared" si="62"/>
        <v>0</v>
      </c>
      <c r="AE130" s="81">
        <f t="shared" si="47"/>
        <v>0</v>
      </c>
      <c r="AF130" s="81">
        <f t="shared" si="63"/>
        <v>0</v>
      </c>
      <c r="AG130" s="81">
        <f t="shared" si="48"/>
        <v>0</v>
      </c>
    </row>
    <row r="131" spans="1:33" ht="15.5" x14ac:dyDescent="0.35">
      <c r="A131" s="57">
        <v>119</v>
      </c>
      <c r="B131" s="80">
        <f t="shared" si="49"/>
        <v>0</v>
      </c>
      <c r="C131" s="81">
        <f t="shared" si="50"/>
        <v>0</v>
      </c>
      <c r="D131" s="81">
        <f t="shared" si="51"/>
        <v>0</v>
      </c>
      <c r="E131" s="81">
        <f t="shared" si="34"/>
        <v>0</v>
      </c>
      <c r="F131" s="81">
        <f t="shared" si="52"/>
        <v>0</v>
      </c>
      <c r="G131" s="81">
        <f t="shared" si="35"/>
        <v>0</v>
      </c>
      <c r="H131" s="81">
        <f t="shared" si="53"/>
        <v>0</v>
      </c>
      <c r="I131" s="81">
        <f t="shared" si="36"/>
        <v>0</v>
      </c>
      <c r="J131" s="81">
        <f t="shared" si="54"/>
        <v>0</v>
      </c>
      <c r="K131" s="81">
        <f t="shared" si="37"/>
        <v>0</v>
      </c>
      <c r="L131" s="81">
        <f t="shared" si="55"/>
        <v>0</v>
      </c>
      <c r="M131" s="81">
        <f t="shared" si="38"/>
        <v>0</v>
      </c>
      <c r="N131" s="81">
        <f t="shared" si="56"/>
        <v>0</v>
      </c>
      <c r="O131" s="81">
        <f t="shared" si="39"/>
        <v>0</v>
      </c>
      <c r="P131" s="81">
        <f t="shared" si="57"/>
        <v>0</v>
      </c>
      <c r="Q131" s="81">
        <f t="shared" si="40"/>
        <v>0</v>
      </c>
      <c r="R131" s="81">
        <f t="shared" si="58"/>
        <v>0</v>
      </c>
      <c r="S131" s="81">
        <f t="shared" si="41"/>
        <v>0</v>
      </c>
      <c r="T131" s="81">
        <f t="shared" si="59"/>
        <v>0</v>
      </c>
      <c r="U131" s="81">
        <f t="shared" si="42"/>
        <v>0</v>
      </c>
      <c r="V131" s="81">
        <f t="shared" si="60"/>
        <v>0</v>
      </c>
      <c r="W131" s="81">
        <f t="shared" si="43"/>
        <v>0</v>
      </c>
      <c r="X131" s="81">
        <f t="shared" si="61"/>
        <v>0</v>
      </c>
      <c r="Y131" s="81">
        <f t="shared" si="44"/>
        <v>0</v>
      </c>
      <c r="Z131" s="81">
        <f t="shared" si="65"/>
        <v>0</v>
      </c>
      <c r="AA131" s="81">
        <f t="shared" si="45"/>
        <v>0</v>
      </c>
      <c r="AB131" s="81">
        <f t="shared" si="64"/>
        <v>0</v>
      </c>
      <c r="AC131" s="81">
        <f t="shared" si="46"/>
        <v>0</v>
      </c>
      <c r="AD131" s="81">
        <f t="shared" si="62"/>
        <v>0</v>
      </c>
      <c r="AE131" s="81">
        <f t="shared" si="47"/>
        <v>0</v>
      </c>
      <c r="AF131" s="81">
        <f t="shared" si="63"/>
        <v>0</v>
      </c>
      <c r="AG131" s="81">
        <f t="shared" si="48"/>
        <v>0</v>
      </c>
    </row>
    <row r="132" spans="1:33" ht="15.5" x14ac:dyDescent="0.35">
      <c r="A132" s="57">
        <v>120</v>
      </c>
      <c r="B132" s="80">
        <f t="shared" si="49"/>
        <v>0</v>
      </c>
      <c r="C132" s="81">
        <f t="shared" si="50"/>
        <v>0</v>
      </c>
      <c r="D132" s="81">
        <f t="shared" si="51"/>
        <v>0</v>
      </c>
      <c r="E132" s="81">
        <f t="shared" si="34"/>
        <v>0</v>
      </c>
      <c r="F132" s="81">
        <f t="shared" si="52"/>
        <v>0</v>
      </c>
      <c r="G132" s="81">
        <f t="shared" si="35"/>
        <v>0</v>
      </c>
      <c r="H132" s="81">
        <f t="shared" si="53"/>
        <v>0</v>
      </c>
      <c r="I132" s="81">
        <f t="shared" si="36"/>
        <v>0</v>
      </c>
      <c r="J132" s="81">
        <f t="shared" si="54"/>
        <v>0</v>
      </c>
      <c r="K132" s="81">
        <f t="shared" si="37"/>
        <v>0</v>
      </c>
      <c r="L132" s="81">
        <f t="shared" si="55"/>
        <v>0</v>
      </c>
      <c r="M132" s="81">
        <f t="shared" si="38"/>
        <v>0</v>
      </c>
      <c r="N132" s="81">
        <f t="shared" si="56"/>
        <v>0</v>
      </c>
      <c r="O132" s="81">
        <f t="shared" si="39"/>
        <v>0</v>
      </c>
      <c r="P132" s="81">
        <f t="shared" si="57"/>
        <v>0</v>
      </c>
      <c r="Q132" s="81">
        <f t="shared" si="40"/>
        <v>0</v>
      </c>
      <c r="R132" s="81">
        <f t="shared" si="58"/>
        <v>0</v>
      </c>
      <c r="S132" s="81">
        <f t="shared" si="41"/>
        <v>0</v>
      </c>
      <c r="T132" s="81">
        <f t="shared" si="59"/>
        <v>0</v>
      </c>
      <c r="U132" s="81">
        <f t="shared" si="42"/>
        <v>0</v>
      </c>
      <c r="V132" s="81">
        <f t="shared" si="60"/>
        <v>0</v>
      </c>
      <c r="W132" s="81">
        <f t="shared" si="43"/>
        <v>0</v>
      </c>
      <c r="X132" s="81">
        <f t="shared" si="61"/>
        <v>0</v>
      </c>
      <c r="Y132" s="81">
        <f t="shared" si="44"/>
        <v>0</v>
      </c>
      <c r="Z132" s="81">
        <f t="shared" si="65"/>
        <v>0</v>
      </c>
      <c r="AA132" s="81">
        <f t="shared" si="45"/>
        <v>0</v>
      </c>
      <c r="AB132" s="81">
        <f t="shared" si="64"/>
        <v>0</v>
      </c>
      <c r="AC132" s="81">
        <f t="shared" si="46"/>
        <v>0</v>
      </c>
      <c r="AD132" s="81">
        <f t="shared" si="62"/>
        <v>0</v>
      </c>
      <c r="AE132" s="81">
        <f t="shared" si="47"/>
        <v>0</v>
      </c>
      <c r="AF132" s="81">
        <f t="shared" si="63"/>
        <v>0</v>
      </c>
      <c r="AG132" s="81">
        <f t="shared" si="48"/>
        <v>0</v>
      </c>
    </row>
    <row r="134" spans="1:33" x14ac:dyDescent="0.35">
      <c r="B134" s="102">
        <f>SUM(B13:B133)</f>
        <v>29090</v>
      </c>
      <c r="D134" s="102">
        <f>SUM(D13:D133)</f>
        <v>31186.582817275368</v>
      </c>
      <c r="F134" s="102">
        <f>SUM(F13:F133)</f>
        <v>73488.185480278902</v>
      </c>
      <c r="H134" s="102">
        <f>SUM(H13:H133)</f>
        <v>90000</v>
      </c>
      <c r="J134" s="102">
        <f>SUM(J13:J133)</f>
        <v>113363.10326701702</v>
      </c>
      <c r="L134" s="102">
        <f>SUM(L13:L133)</f>
        <v>166329.19421693002</v>
      </c>
      <c r="N134" s="102">
        <f>SUM(N13:N133)</f>
        <v>220205.71208228017</v>
      </c>
      <c r="P134" s="102">
        <f>SUM(P13:P133)</f>
        <v>0</v>
      </c>
    </row>
    <row r="135" spans="1:33" x14ac:dyDescent="0.35">
      <c r="AG135" s="102">
        <f>SUM(B134:AG134)</f>
        <v>723662.77786378143</v>
      </c>
    </row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34ED-229A-4D18-95B4-4E60DAE4F6AE}">
  <dimension ref="A1:AG135"/>
  <sheetViews>
    <sheetView tabSelected="1" zoomScale="70" zoomScaleNormal="70" workbookViewId="0">
      <selection activeCell="H4" sqref="H4"/>
    </sheetView>
  </sheetViews>
  <sheetFormatPr defaultColWidth="8.81640625" defaultRowHeight="14.5" x14ac:dyDescent="0.35"/>
  <cols>
    <col min="1" max="1" width="7.1796875" style="57" customWidth="1"/>
    <col min="2" max="2" width="14.90625" style="56" customWidth="1"/>
    <col min="3" max="3" width="14.90625" style="58" customWidth="1"/>
    <col min="4" max="4" width="14.90625" style="56" customWidth="1"/>
    <col min="5" max="5" width="16.1796875" style="58" customWidth="1"/>
    <col min="6" max="6" width="14.90625" style="56" customWidth="1"/>
    <col min="7" max="7" width="17.6328125" style="58" customWidth="1"/>
    <col min="8" max="8" width="14.90625" style="56" customWidth="1"/>
    <col min="9" max="9" width="14.90625" style="58" customWidth="1"/>
    <col min="10" max="10" width="14.90625" style="56" customWidth="1"/>
    <col min="11" max="11" width="14.90625" style="58" customWidth="1"/>
    <col min="12" max="12" width="14.90625" style="56" customWidth="1"/>
    <col min="13" max="13" width="14.90625" style="58" customWidth="1"/>
    <col min="14" max="33" width="14.90625" style="56" customWidth="1"/>
    <col min="34" max="16384" width="8.81640625" style="56"/>
  </cols>
  <sheetData>
    <row r="1" spans="1:33" s="78" customFormat="1" ht="18.5" customHeight="1" thickBot="1" x14ac:dyDescent="0.4">
      <c r="A1" s="77"/>
      <c r="C1" s="79"/>
      <c r="E1" s="79"/>
      <c r="G1" s="79"/>
      <c r="I1" s="79"/>
      <c r="K1" s="79"/>
      <c r="M1" s="79"/>
    </row>
    <row r="2" spans="1:33" ht="18" customHeight="1" x14ac:dyDescent="0.35">
      <c r="B2" s="103" t="s">
        <v>62</v>
      </c>
      <c r="C2" s="103"/>
      <c r="D2" s="103"/>
      <c r="F2" s="97"/>
      <c r="G2" s="95" t="s">
        <v>61</v>
      </c>
      <c r="H2" s="98">
        <v>16000</v>
      </c>
      <c r="I2" s="59"/>
      <c r="J2" s="60"/>
      <c r="M2" s="61"/>
    </row>
    <row r="3" spans="1:33" ht="16" thickBot="1" x14ac:dyDescent="0.4">
      <c r="B3" s="103"/>
      <c r="C3" s="103"/>
      <c r="D3" s="103"/>
      <c r="F3" s="99"/>
      <c r="G3" s="96" t="s">
        <v>45</v>
      </c>
      <c r="H3" s="100">
        <v>0</v>
      </c>
      <c r="I3" s="62"/>
      <c r="J3" s="63"/>
    </row>
    <row r="5" spans="1:33" ht="18.5" x14ac:dyDescent="0.35">
      <c r="B5" s="101" t="s">
        <v>59</v>
      </c>
      <c r="M5" s="65" t="s">
        <v>60</v>
      </c>
    </row>
    <row r="6" spans="1:33" ht="15" thickBot="1" x14ac:dyDescent="0.4"/>
    <row r="7" spans="1:33" ht="15.5" x14ac:dyDescent="0.35">
      <c r="B7" s="66" t="s">
        <v>52</v>
      </c>
      <c r="C7" s="67"/>
      <c r="D7" s="68" t="s">
        <v>52</v>
      </c>
      <c r="E7" s="67"/>
      <c r="F7" s="68" t="s">
        <v>63</v>
      </c>
      <c r="G7" s="69"/>
      <c r="H7" s="68"/>
      <c r="I7" s="69"/>
      <c r="J7" s="68"/>
      <c r="K7" s="69"/>
      <c r="L7" s="68"/>
      <c r="M7" s="70"/>
      <c r="N7" s="68"/>
      <c r="O7" s="71"/>
      <c r="P7" s="68"/>
      <c r="Q7" s="71"/>
      <c r="R7" s="68"/>
      <c r="S7" s="71"/>
      <c r="T7" s="68"/>
      <c r="U7" s="71"/>
      <c r="V7" s="68"/>
      <c r="W7" s="71"/>
      <c r="X7" s="68"/>
      <c r="Y7" s="71"/>
      <c r="Z7" s="68"/>
      <c r="AA7" s="71"/>
      <c r="AB7" s="68"/>
      <c r="AC7" s="71"/>
      <c r="AD7" s="68"/>
      <c r="AE7" s="71"/>
      <c r="AF7" s="68"/>
      <c r="AG7" s="72"/>
    </row>
    <row r="8" spans="1:33" ht="15.5" x14ac:dyDescent="0.35">
      <c r="B8" s="87" t="s">
        <v>49</v>
      </c>
      <c r="C8" s="88">
        <v>146287.74</v>
      </c>
      <c r="D8" s="87" t="s">
        <v>49</v>
      </c>
      <c r="E8" s="88">
        <v>1186378.3700000001</v>
      </c>
      <c r="F8" s="87" t="s">
        <v>49</v>
      </c>
      <c r="G8" s="88">
        <v>1017469.93</v>
      </c>
      <c r="H8" s="87" t="s">
        <v>49</v>
      </c>
      <c r="I8" s="88"/>
      <c r="J8" s="87" t="s">
        <v>49</v>
      </c>
      <c r="K8" s="88"/>
      <c r="L8" s="87" t="s">
        <v>49</v>
      </c>
      <c r="M8" s="89"/>
      <c r="N8" s="87" t="s">
        <v>49</v>
      </c>
      <c r="O8" s="88"/>
      <c r="P8" s="87" t="s">
        <v>49</v>
      </c>
      <c r="Q8" s="88">
        <v>0</v>
      </c>
      <c r="R8" s="87" t="s">
        <v>49</v>
      </c>
      <c r="S8" s="88">
        <v>0</v>
      </c>
      <c r="T8" s="87" t="s">
        <v>49</v>
      </c>
      <c r="U8" s="88">
        <v>0</v>
      </c>
      <c r="V8" s="87" t="s">
        <v>49</v>
      </c>
      <c r="W8" s="88">
        <v>0</v>
      </c>
      <c r="X8" s="87" t="s">
        <v>49</v>
      </c>
      <c r="Y8" s="88">
        <v>0</v>
      </c>
      <c r="Z8" s="87" t="s">
        <v>49</v>
      </c>
      <c r="AA8" s="88">
        <v>0</v>
      </c>
      <c r="AB8" s="87" t="s">
        <v>49</v>
      </c>
      <c r="AC8" s="88">
        <v>0</v>
      </c>
      <c r="AD8" s="87" t="s">
        <v>49</v>
      </c>
      <c r="AE8" s="88">
        <v>0</v>
      </c>
      <c r="AF8" s="87" t="s">
        <v>49</v>
      </c>
      <c r="AG8" s="90">
        <v>0</v>
      </c>
    </row>
    <row r="9" spans="1:33" ht="15.5" x14ac:dyDescent="0.35">
      <c r="B9" s="87" t="s">
        <v>50</v>
      </c>
      <c r="C9" s="88">
        <v>5180</v>
      </c>
      <c r="D9" s="87" t="s">
        <v>50</v>
      </c>
      <c r="E9" s="88">
        <v>33238.080000000002</v>
      </c>
      <c r="F9" s="87" t="s">
        <v>50</v>
      </c>
      <c r="G9" s="88">
        <v>30421.52</v>
      </c>
      <c r="H9" s="87" t="s">
        <v>50</v>
      </c>
      <c r="I9" s="88"/>
      <c r="J9" s="87" t="s">
        <v>50</v>
      </c>
      <c r="K9" s="88"/>
      <c r="L9" s="87" t="s">
        <v>50</v>
      </c>
      <c r="M9" s="89"/>
      <c r="N9" s="87" t="s">
        <v>50</v>
      </c>
      <c r="O9" s="88"/>
      <c r="P9" s="87" t="s">
        <v>50</v>
      </c>
      <c r="Q9" s="88">
        <v>0</v>
      </c>
      <c r="R9" s="87" t="s">
        <v>50</v>
      </c>
      <c r="S9" s="88">
        <v>0</v>
      </c>
      <c r="T9" s="87" t="s">
        <v>50</v>
      </c>
      <c r="U9" s="88">
        <v>0</v>
      </c>
      <c r="V9" s="87" t="s">
        <v>50</v>
      </c>
      <c r="W9" s="88">
        <v>0</v>
      </c>
      <c r="X9" s="87" t="s">
        <v>50</v>
      </c>
      <c r="Y9" s="88">
        <v>0</v>
      </c>
      <c r="Z9" s="87" t="s">
        <v>50</v>
      </c>
      <c r="AA9" s="88">
        <v>0</v>
      </c>
      <c r="AB9" s="87" t="s">
        <v>50</v>
      </c>
      <c r="AC9" s="88">
        <v>0</v>
      </c>
      <c r="AD9" s="87" t="s">
        <v>50</v>
      </c>
      <c r="AE9" s="88">
        <v>0</v>
      </c>
      <c r="AF9" s="87" t="s">
        <v>50</v>
      </c>
      <c r="AG9" s="90">
        <v>0</v>
      </c>
    </row>
    <row r="10" spans="1:33" ht="16" thickBot="1" x14ac:dyDescent="0.4">
      <c r="B10" s="91" t="s">
        <v>51</v>
      </c>
      <c r="C10" s="92">
        <v>0.29899999999999999</v>
      </c>
      <c r="D10" s="91" t="s">
        <v>51</v>
      </c>
      <c r="E10" s="92">
        <v>0.184</v>
      </c>
      <c r="F10" s="91" t="s">
        <v>51</v>
      </c>
      <c r="G10" s="92">
        <v>0.05</v>
      </c>
      <c r="H10" s="91" t="s">
        <v>51</v>
      </c>
      <c r="I10" s="92"/>
      <c r="J10" s="91" t="s">
        <v>51</v>
      </c>
      <c r="K10" s="92"/>
      <c r="L10" s="91" t="s">
        <v>51</v>
      </c>
      <c r="M10" s="93"/>
      <c r="N10" s="91" t="s">
        <v>51</v>
      </c>
      <c r="O10" s="92"/>
      <c r="P10" s="91" t="s">
        <v>51</v>
      </c>
      <c r="Q10" s="92">
        <v>0</v>
      </c>
      <c r="R10" s="91" t="s">
        <v>51</v>
      </c>
      <c r="S10" s="92">
        <v>0</v>
      </c>
      <c r="T10" s="91" t="s">
        <v>51</v>
      </c>
      <c r="U10" s="92">
        <v>0</v>
      </c>
      <c r="V10" s="91" t="s">
        <v>51</v>
      </c>
      <c r="W10" s="92">
        <v>0</v>
      </c>
      <c r="X10" s="91" t="s">
        <v>51</v>
      </c>
      <c r="Y10" s="92">
        <v>0</v>
      </c>
      <c r="Z10" s="91" t="s">
        <v>51</v>
      </c>
      <c r="AA10" s="92">
        <v>0</v>
      </c>
      <c r="AB10" s="91" t="s">
        <v>51</v>
      </c>
      <c r="AC10" s="92">
        <v>0</v>
      </c>
      <c r="AD10" s="91" t="s">
        <v>51</v>
      </c>
      <c r="AE10" s="92">
        <v>0</v>
      </c>
      <c r="AF10" s="91" t="s">
        <v>51</v>
      </c>
      <c r="AG10" s="94">
        <v>0</v>
      </c>
    </row>
    <row r="11" spans="1:33" x14ac:dyDescent="0.35">
      <c r="B11" s="73"/>
      <c r="C11" s="74"/>
      <c r="D11" s="73"/>
      <c r="E11" s="74"/>
      <c r="F11" s="73"/>
      <c r="G11" s="74"/>
      <c r="H11" s="73"/>
      <c r="I11" s="74"/>
      <c r="J11" s="73"/>
      <c r="K11" s="74"/>
      <c r="L11" s="73"/>
      <c r="M11" s="74"/>
      <c r="N11" s="73"/>
      <c r="O11" s="74"/>
      <c r="P11" s="73"/>
      <c r="Q11" s="74"/>
      <c r="R11" s="73"/>
      <c r="S11" s="74"/>
      <c r="T11" s="73"/>
      <c r="U11" s="74"/>
      <c r="V11" s="73"/>
      <c r="W11" s="74"/>
      <c r="X11" s="73"/>
      <c r="Y11" s="74"/>
      <c r="Z11" s="73"/>
      <c r="AA11" s="74"/>
      <c r="AB11" s="73"/>
      <c r="AC11" s="74"/>
      <c r="AD11" s="73"/>
      <c r="AE11" s="74"/>
      <c r="AF11" s="73"/>
      <c r="AG11" s="74"/>
    </row>
    <row r="12" spans="1:33" s="86" customFormat="1" ht="21" customHeight="1" x14ac:dyDescent="0.35">
      <c r="A12" s="84" t="s">
        <v>56</v>
      </c>
      <c r="B12" s="84" t="s">
        <v>57</v>
      </c>
      <c r="C12" s="85" t="s">
        <v>58</v>
      </c>
      <c r="D12" s="84" t="s">
        <v>57</v>
      </c>
      <c r="E12" s="85" t="s">
        <v>58</v>
      </c>
      <c r="F12" s="84" t="s">
        <v>57</v>
      </c>
      <c r="G12" s="85" t="s">
        <v>58</v>
      </c>
      <c r="H12" s="84" t="s">
        <v>57</v>
      </c>
      <c r="I12" s="85" t="s">
        <v>58</v>
      </c>
      <c r="J12" s="84" t="s">
        <v>57</v>
      </c>
      <c r="K12" s="85" t="s">
        <v>58</v>
      </c>
      <c r="L12" s="84" t="s">
        <v>57</v>
      </c>
      <c r="M12" s="85" t="s">
        <v>58</v>
      </c>
      <c r="N12" s="84" t="s">
        <v>57</v>
      </c>
      <c r="O12" s="85" t="s">
        <v>58</v>
      </c>
      <c r="P12" s="84" t="s">
        <v>57</v>
      </c>
      <c r="Q12" s="85" t="s">
        <v>58</v>
      </c>
      <c r="R12" s="84" t="s">
        <v>57</v>
      </c>
      <c r="S12" s="85" t="s">
        <v>58</v>
      </c>
      <c r="T12" s="84" t="s">
        <v>57</v>
      </c>
      <c r="U12" s="85" t="s">
        <v>58</v>
      </c>
      <c r="V12" s="84" t="s">
        <v>57</v>
      </c>
      <c r="W12" s="85" t="s">
        <v>58</v>
      </c>
      <c r="X12" s="84" t="s">
        <v>57</v>
      </c>
      <c r="Y12" s="85" t="s">
        <v>58</v>
      </c>
      <c r="Z12" s="84" t="s">
        <v>57</v>
      </c>
      <c r="AA12" s="85" t="s">
        <v>58</v>
      </c>
      <c r="AB12" s="84" t="s">
        <v>57</v>
      </c>
      <c r="AC12" s="85" t="s">
        <v>58</v>
      </c>
      <c r="AD12" s="84" t="s">
        <v>57</v>
      </c>
      <c r="AE12" s="85" t="s">
        <v>58</v>
      </c>
      <c r="AF12" s="84" t="s">
        <v>57</v>
      </c>
      <c r="AG12" s="85" t="s">
        <v>58</v>
      </c>
    </row>
    <row r="13" spans="1:33" ht="15.5" x14ac:dyDescent="0.35">
      <c r="A13" s="57">
        <v>1</v>
      </c>
      <c r="B13" s="80">
        <f>IF((H3+H2)&gt;=C8,C8,(H2+H3+C9))</f>
        <v>21180</v>
      </c>
      <c r="C13" s="81">
        <f>IF(C8-B13&lt;0,0,(C8-B13))</f>
        <v>125107.73999999999</v>
      </c>
      <c r="D13" s="81">
        <f>IF((H2+H3)&gt;=(C8+E8),E8,IF(AND(B13=C8,B13&lt;&gt;0),(H2+H3-C8+E9),E9))</f>
        <v>33238.080000000002</v>
      </c>
      <c r="E13" s="81">
        <f>E8-D13</f>
        <v>1153140.29</v>
      </c>
      <c r="F13" s="81">
        <f>IF((H2+H3)&gt;=(E8+G8+C8),G8,IF(AND(D13=E8, D13&lt;&gt;0),(H2+H3-E8-C8+G9),G9))</f>
        <v>30421.52</v>
      </c>
      <c r="G13" s="81">
        <f>G8-F13</f>
        <v>987048.41</v>
      </c>
      <c r="H13" s="81">
        <f>IF((H2+H3)&gt;=(G8+I8+E8+C8),I8,IF(AND(F13=G8, F13&lt;&gt;0),(H2+H3-G8-E8-C8+I9),I9))</f>
        <v>0</v>
      </c>
      <c r="I13" s="81">
        <f>I8-H13</f>
        <v>0</v>
      </c>
      <c r="J13" s="81">
        <f>IF((H2+H3)&gt;=(I8+K8+G8+E8+C8),K8,IF(AND(H13=I8,H13&lt;&gt;0),(H2+H3-I8-G8-E8-C8+K9),K9))</f>
        <v>0</v>
      </c>
      <c r="K13" s="81">
        <f>K8-J13</f>
        <v>0</v>
      </c>
      <c r="L13" s="81">
        <f>IF((H2+H3)&gt;=(K8+M8+I8+G8+E8+C8),M8,IF(AND(J13=K8,J13&lt;&gt;0),(H2+H3-K8-I8-G8-E8-C8+M9),M9))</f>
        <v>0</v>
      </c>
      <c r="M13" s="81">
        <f>M8-L13</f>
        <v>0</v>
      </c>
      <c r="N13" s="81">
        <f>IF(($H$2+$H$3)&gt;=(M8+O8+K8+I8+G8+E8+C8),O8,IF(AND(L13=M$8,L13&lt;&gt;0),($H$2+$H$3-M8-K8-I8-G8-E8-C8+O9),O9))</f>
        <v>0</v>
      </c>
      <c r="O13" s="81">
        <f>O8-N13</f>
        <v>0</v>
      </c>
      <c r="P13" s="81">
        <f>IF(($H$2+$H$3)&gt;=(O8+Q8+M8+K8+I8+G8+E8+C8),Q8,IF(AND(N13=O$8,N13&lt;&gt;0),($H$2+$H$3-O8-M8-K8-I8-G8-E8-C8+Q9),Q9))</f>
        <v>0</v>
      </c>
      <c r="Q13" s="81">
        <f>Q8-P13</f>
        <v>0</v>
      </c>
      <c r="R13" s="81">
        <f>IF(($H$2+$H$3)&gt;=(Q8+S8+O8+M8+K8+I8+G8+E8+C8),S8,IF(AND(P13=Q$8,P13&lt;&gt;0),($H$2+$H$3-Q8-O8-M8-K8-I8-G8-E8-C8+S9),S9))</f>
        <v>0</v>
      </c>
      <c r="S13" s="81">
        <f>S8-R13</f>
        <v>0</v>
      </c>
      <c r="T13" s="81">
        <f>IF(($H$2+$H$3)&gt;=(S8+U8+Q8+O8+M8+K8+I8+G8+E8+C8),U8,IF(AND(R13=S$8,R13&lt;&gt;0),($H$2+$H$3-S8-Q8-O8-M8-K8-I8-G8-E8-C8+U9),U9))</f>
        <v>0</v>
      </c>
      <c r="U13" s="81">
        <f>U8-T13</f>
        <v>0</v>
      </c>
      <c r="V13" s="81">
        <f>IF(($H$2+$H$3)&gt;=(U8+W8+S8+Q8+O8+M8+K8+I8+G8+E8+C8),W8,IF(AND(T13=U$8,T13&lt;&gt;0),($H$2+$H$3-U8-S8-Q8-O8-M8-K8-I8-G8-E8-C8+W9),W9))</f>
        <v>0</v>
      </c>
      <c r="W13" s="81">
        <f>W8-V13</f>
        <v>0</v>
      </c>
      <c r="X13" s="81">
        <f>IF(($H$2+$H$3)&gt;=(W8+Y8+U8+S8+Q8+O8+M8+K8+I8+G8+E8+C8),Y8,IF(AND(V13=W$8,V13&lt;&gt;0),($H$2+$H$3-W8-U8-S8-Q8-O8-M8-K8-I8-G8-E8-C8+Y9),Y9))</f>
        <v>0</v>
      </c>
      <c r="Y13" s="81">
        <f>Y8-X13</f>
        <v>0</v>
      </c>
      <c r="Z13" s="81">
        <f>IF(($H$2+$H$3)&gt;=(Y8+AA8+W8+U8+S8+Q8+O8+M8+K8+I8+G8+E8+C8),AA8,IF(AND(X13=Y$8,X13&lt;&gt;0),($H$2+$H$3-Y8-W8-U8-S8-Q8-O8-M8-K8-I8-G8-E8-C8+AA9),AA9))</f>
        <v>0</v>
      </c>
      <c r="AA13" s="81">
        <f>AA8-Z13</f>
        <v>0</v>
      </c>
      <c r="AB13" s="81">
        <f>IF(($H$2+$H$3)&gt;=(AA8+AC8+Y8+W8+U8+S8+Q8+O8+M8+K8+I8+G8+E8+C8),AC8,IF(AND(Z13=AA$8,Z13&lt;&gt;0),($H$2+$H$3-AA8-Y8-W8-U8-S8-Q8-O8-M8-K8-I8-G8-E8-C8+AC9),AC9))</f>
        <v>0</v>
      </c>
      <c r="AC13" s="81">
        <f>AC8-AB13</f>
        <v>0</v>
      </c>
      <c r="AD13" s="81">
        <f>IF(($H$2+$H$3)&gt;=(AC8+AE8+AA8+Y8+W8+U8+S8+Q8+O8+M8+K8+I8+G8+E8+C8),AE8,IF(AND(AB13=AC$8,AB13&lt;&gt;0),($H$2+$H$3-AC8-AA8-Y8-W8-U8-S8-Q8-O8-M8-K8-I8-G8-E8-C8+AE9),AE9))</f>
        <v>0</v>
      </c>
      <c r="AE13" s="81">
        <f>AE8-AD13</f>
        <v>0</v>
      </c>
      <c r="AF13" s="81">
        <f>IF(($H$2+$H$3)&gt;=(AE8+AG8+AC8+AA8+Y8+W8+U8+S8+Q8+O8+M8+K8+I8+G8+E8+C8),AG8,IF(AND(AD13=AE$8,AD13&lt;&gt;0),($H$2+$H$3-AE8-AC8-AA8-Y8-W8-U8-S8-Q8-O8-M8-K8-I8-G8-E8-C8+AG9),AG9))</f>
        <v>0</v>
      </c>
      <c r="AG13" s="81">
        <f>AG8-AF13</f>
        <v>0</v>
      </c>
    </row>
    <row r="14" spans="1:33" ht="15.5" x14ac:dyDescent="0.35">
      <c r="A14" s="57">
        <v>2</v>
      </c>
      <c r="B14" s="80">
        <f>IF((C13-$H$2-$C$9)&lt;=0,($H$2+(C13-$H$2)),($H$2+$C$9))</f>
        <v>21180</v>
      </c>
      <c r="C14" s="81">
        <f>IF((C13-B14)&lt;=0.0001,0,(C13-B14)*(1+(C$10/12)))</f>
        <v>106517.27285499999</v>
      </c>
      <c r="D14" s="81">
        <f>IF(AND(((E13-$H$2+B14-E$9-C$9)&lt;=0),C14=0),E13,IF((E13-$E$9-$H$2)&lt;=0,E13,IF(C14=0,$H$2-B14+E$9+C$9,E$9)))</f>
        <v>33238.080000000002</v>
      </c>
      <c r="E14" s="81">
        <f t="shared" ref="E14:E77" si="0">IF((E13-D14)&lt;=0.0001,0,(E13-D14)*(1+(E$10/12)))</f>
        <v>1137074.0438866667</v>
      </c>
      <c r="F14" s="81">
        <f>IF(AND(((G13-$H$2+D14-G$9-E$9-C$9)&lt;=0),E14=0),G13, IF((G13-$G$9-$H$2)&lt;=0,G13,IF(E14=0,$H$2-D14+G$9+E$9+C$9,G$9)))</f>
        <v>30421.52</v>
      </c>
      <c r="G14" s="81">
        <f t="shared" ref="G14:G77" si="1">IF((G13-F14)&lt;=0.0001,0,(G13-F14)*(1+(G$10/12)))</f>
        <v>960612.83537500002</v>
      </c>
      <c r="H14" s="81">
        <f>IF(AND(((I13-$H$2+F14-I$9-G$9-E$9-C$9)&lt;=0),G14=0),I13, IF((I13-$I$9-$H$2)&lt;=0,I13,IF(G14=0,$H$2-F14+I$9+G$9+E$9+C$9,I$9)))</f>
        <v>0</v>
      </c>
      <c r="I14" s="81">
        <f t="shared" ref="I14:I77" si="2">IF((I13-H14)&lt;=0.0001,0,(I13-H14)*(1+(I$10/12)))</f>
        <v>0</v>
      </c>
      <c r="J14" s="81">
        <f>IF(AND(((K13-$H$2+H14+F14+D14+B14-K$9-I$9-G$9-E$9-C$9)&lt;=0),I14+G14+E14+C14=0),K13, IF(AND((K13-K$9-$H$2)&lt;=0, I14=0),K13,IF(K$9&gt;=K13, K13, IF(AND(I14=0,G14=0,E14=0,C14=0), $H$2-H14-F14-D14-B14+K$9+I$9+G$9+E$9+C$9,K$9))))</f>
        <v>0</v>
      </c>
      <c r="K14" s="81">
        <f t="shared" ref="K14:K77" si="3">IF((K13-J14)&lt;=0.0001,0,(K13-J14)*(1+(K$10/12)))</f>
        <v>0</v>
      </c>
      <c r="L14" s="81">
        <f>IF(AND(((M13-$H$2+J14+H14+F14+D14-M$9-K$9-I$9-G$9-E$9-C$9)&lt;=0),K14+I14+G14+E14=0),M13, IF(AND((M13-M$9-$H$2)&lt;=0, K14=0),M13,IF(M$9&gt;=M13, M13, IF(AND(K14=0,I14=0,G14=0,E14=0), $H$2-J14-H14-F14-D14+M$9+K$9+I$9+G$9+E$9+C$9,M$9))))</f>
        <v>0</v>
      </c>
      <c r="M14" s="81">
        <f t="shared" ref="M14:M77" si="4">IF((M13-L14)&lt;=0.0001,0,(M13-L14)*(1+(M$10/12)))</f>
        <v>0</v>
      </c>
      <c r="N14" s="81">
        <f>IF(AND(((O13-$H$2+L14+J14+H14+F14-O$9-M$9-K$9-I$9-G$9-E$9-C$9)&lt;=0),M14+K14+I14+G14=0),O13, IF(AND((O13-O$9-$H$2)&lt;=0, M14=0),O13,IF(O$9&gt;=O13, O13, IF(AND(M14=0,K14=0,I14=0,G14=0), $H$2-L14-J14-H14-F14+O$9+M$9+K$9+I$9+G$9+E$9+C$9,O$9))))</f>
        <v>0</v>
      </c>
      <c r="O14" s="81">
        <f t="shared" ref="O14:O77" si="5">IF((O13-N14)&lt;=0.0001,0,(O13-N14)*(1+(O$10/12)))</f>
        <v>0</v>
      </c>
      <c r="P14" s="81">
        <f>IF(AND(((Q13-$H$2+N14+L14+J14+H14-Q$9-O$9-M$9-K$9-I$9-G$9-E$9-C$9)&lt;=0),O14+M14+K14+I14=0),Q13, IF(AND((Q13-Q$9-$H$2)&lt;=0, O14=0),Q13,IF(Q$9&gt;=Q13, Q13, IF(AND(O14=0,M14=0,K14=0,I14=0), $H$2-N14-L14-J14-H14+Q$9+O$9+M$9+K$9+I$9+G$9+E$9+C$9,Q$9))))</f>
        <v>0</v>
      </c>
      <c r="Q14" s="81">
        <f t="shared" ref="Q14:Q77" si="6">IF((Q13-P14)&lt;=0.0001,0,(Q13-P14)*(1+(Q$10/12)))</f>
        <v>0</v>
      </c>
      <c r="R14" s="81">
        <f>IF(AND(((S13-$H$2+P14+N14+L14+J14-S$9-Q$9-O$9-M$9-K$9-I$9-G$9-E$9-C$9)&lt;=0),Q14+O14+M14+K14=0),S13, IF(AND((S13-S$9-$H$2)&lt;=0, Q14=0),S13,IF(S$9&gt;=S13, S13, IF(AND(Q14=0,O14=0,M14=0,K14=0), $H$2-P14-N14-L14-J14+S$9+Q$9+O$9+M$9+K$9+I$9+G$9+E$9+C$9,S$9))))</f>
        <v>0</v>
      </c>
      <c r="S14" s="81">
        <f t="shared" ref="S14:S77" si="7">IF((S13-R14)&lt;=0.0001,0,(S13-R14)*(1+(S$10/12)))</f>
        <v>0</v>
      </c>
      <c r="T14" s="81">
        <f>IF(AND(((U13-$H$2+R14+P14+N14+L14-U$9-S$9-Q$9-O$9-M$9-K$9-I$9-G$9-E$9-C$9)&lt;=0),S14+Q14+O14+M14=0),U13, IF(AND((U13-U$9-$H$2)&lt;=0, S14=0),U13,IF(U$9&gt;=U13, U13, IF(AND(S14=0,Q14=0,O14=0,M14=0), $H$2-R14-P14-N14-L14+U$9+S$9+Q$9+O$9+M$9+K$9+I$9+G$9+E$9+C$9,U$9))))</f>
        <v>0</v>
      </c>
      <c r="U14" s="81">
        <f t="shared" ref="U14:U77" si="8">IF((U13-T14)&lt;=0.0001,0,(U13-T14)*(1+(U$10/12)))</f>
        <v>0</v>
      </c>
      <c r="V14" s="81">
        <f>IF(AND(((W13-$H$2+T14+R14+P14+N14-W$9-U$9-S$9-Q$9-O$9-M$9-K$9-I$9-G$9-E$9-C$9)&lt;=0),U14+S14+Q14+O14=0),W13, IF(AND((W13-W$9-$H$2)&lt;=0, U14=0),W13,IF(W$9&gt;=W13, W13, IF(AND(U14=0,S14=0,Q14=0,O14=0), $H$2-T14-R14-P14-N14+W$9+U$9+S$9+Q$9+O$9+M$9+K$9+I$9+G$9+E$9+C$9,W$9))))</f>
        <v>0</v>
      </c>
      <c r="W14" s="81">
        <f t="shared" ref="W14:W77" si="9">IF((W13-V14)&lt;=0.0001,0,(W13-V14)*(1+(W$10/12)))</f>
        <v>0</v>
      </c>
      <c r="X14" s="81">
        <f>IF(AND(((Y13-$H$2+V14+T14+R14+P14-Y$9-W$9-U$9-S$9-Q$9-O$9-M$9-K$9-I$9-G$9-E$9-C$9)&lt;=0),W14+U14+S14+Q14=0),Y13, IF(AND((Y13-Y$9-$H$2)&lt;=0, W14=0),Y13,IF(Y$9&gt;=Y13, Y13, IF(AND(W14=0,U14=0,S14=0,Q14=0), $H$2-V14-T14-R14-P14+Y$9+W$9+U$9+S$9+Q$9+O$9+M$9+K$9+I$9+G$9+E$9+C$9,Y$9))))</f>
        <v>0</v>
      </c>
      <c r="Y14" s="81">
        <f t="shared" ref="Y14:Y77" si="10">IF((Y13-X14)&lt;=0.0001,0,(Y13-X14)*(1+(Y$10/12)))</f>
        <v>0</v>
      </c>
      <c r="Z14" s="81">
        <f t="shared" ref="Z14:Z34" si="11">IF(AND(((AA13-$H$2+X14+V14+T14+R14-AA$9-Y$9-W$9-U$9-S$9-Q$9-O$9-M$9-K$9-I$9-G$9-E$9-C$9)&lt;=0),Y14+W14+U14+S14=0),AA13, IF(AND((AA13-AA$9-$H$2)&lt;=0, Y14=0),AA13,IF(AA$9&gt;=AA13, AA13, IF(AND(Y14=0,W14=0,U14=0,S14=0), $H$2-X14-V14-T14-R14+AA$9+Y$9+W$9+U$9+S$9+Q$9+O$9+M$9+K$9+I$9+G$9+E$9+C$9,AA$9))))</f>
        <v>0</v>
      </c>
      <c r="AA14" s="81">
        <f t="shared" ref="AA14:AA77" si="12">IF((AA13-Z14)&lt;=0.0001,0,(AA13-Z14)*(1+(AA$10/12)))</f>
        <v>0</v>
      </c>
      <c r="AB14" s="81">
        <f t="shared" ref="AB14:AB28" si="13">IF(AND(((AC13-$H$2+Z14+X14+V14+T14-AC$9-AA$9-Y$9-W$9-U$9-S$9-Q$9-O$9-M$9-K$9-I$9-G$9-E$9-C$9)&lt;=0),AA14+Y14+W14+U14=0),AC13, IF(AND((AC13-AC$9-$H$2)&lt;=0, AA14=0),AC13,IF(AC$9&gt;=AC13, AC13, IF(AND(AA14=0,Y14=0,W14=0,U14=0), $H$2-Z14-X14-V14-T14+AC$9+AA$9+Y$9+W$9+U$9+S$9+Q$9+O$9+M$9+K$9+I$9+G$9+E$9+C$9,AC$9))))</f>
        <v>0</v>
      </c>
      <c r="AC14" s="81">
        <f t="shared" ref="AC14:AC77" si="14">IF((AC13-AB14)&lt;=0.0001,0,(AC13-AB14)*(1+(AC$10/12)))</f>
        <v>0</v>
      </c>
      <c r="AD14" s="81">
        <f>IF(AND(((AE13-$H$2+AB14-AE$9-AC$9-AA$9-Y$9-W$9-U$9-S$9-Q$9-O$9-M$9-K$9-I$9-G$9-E$9-C$9)&lt;=0),AC14=0),AE13, IF((AE13-AE$9-$H$2)&lt;=0,AE13,IF(AC14=0,$H$2-AB14+AE$9+AC$9+AA$9+Y$9+W$9+U$9+S$9+Q$9+O$9+M$9+K$9+I$9+G$9+E$9+C$9,AE$9)))</f>
        <v>0</v>
      </c>
      <c r="AE14" s="81">
        <f t="shared" ref="AE14:AE77" si="15">IF((AE13-AD14)&lt;=0.0001,0,(AE13-AD14)*(1+(AE$10/12)))</f>
        <v>0</v>
      </c>
      <c r="AF14" s="81">
        <f>IF(AND(((AG13-$H$2+AD14-AG$9-AE$9-AC$9-AA$9-Y$9-W$9-U$9-S$9-Q$9-O$9-M$9-K$9-I$9-G$9-E$9-C$9)&lt;=0),AE14=0),AG13, IF((AG13-AG$9-$H$2)&lt;=0,AG13,IF(AE14=0,$H$2-AD14+AG$9+AE$9+AC$9+AA$9+Y$9+W$9+U$9+S$9+Q$9+O$9+M$9+K$9+I$9+G$9+E$9+C$9,AG$9)))</f>
        <v>0</v>
      </c>
      <c r="AG14" s="81">
        <f t="shared" ref="AG14:AG77" si="16">IF((AG13-AF14)&lt;=0.0001,0,(AG13-AF14)*(1+(AG$10/12)))</f>
        <v>0</v>
      </c>
    </row>
    <row r="15" spans="1:33" ht="15.5" x14ac:dyDescent="0.35">
      <c r="A15" s="57">
        <v>3</v>
      </c>
      <c r="B15" s="80">
        <f t="shared" ref="B15:B78" si="17">IF((C14-$H$2-$C$9)&lt;=0,($H$2+(C14-$H$2)),($H$2+$C$9))</f>
        <v>21180</v>
      </c>
      <c r="C15" s="81">
        <f t="shared" ref="C15:C78" si="18">IF((C14-B15)&lt;=0.0001,0,(C14-B15)*(1+(C$10/12)))</f>
        <v>87463.59323697041</v>
      </c>
      <c r="D15" s="81">
        <f t="shared" ref="D15:D78" si="19">IF(AND(((E14-$H$2+B15-E$9-C$9)&lt;=0),C15=0),E14,IF((E14-$E$9-$H$2)&lt;=0,E14,IF(C15=0,$H$2-B15+E$9+C$9,E$9)))</f>
        <v>33238.080000000002</v>
      </c>
      <c r="E15" s="81">
        <f t="shared" si="0"/>
        <v>1120761.4486662622</v>
      </c>
      <c r="F15" s="81">
        <f t="shared" ref="F15:F78" si="20">IF(AND(((G14-$H$2+D15-G$9-E$9-C$9)&lt;=0),E15=0),G14, IF((G14-$G$9-$H$2)&lt;=0,G14,IF(E15=0,$H$2-D15+G$9+E$9+C$9,G$9)))</f>
        <v>30421.52</v>
      </c>
      <c r="G15" s="81">
        <f t="shared" si="1"/>
        <v>934067.11252239579</v>
      </c>
      <c r="H15" s="81">
        <f t="shared" ref="H15:H78" si="21">IF(AND(((I14-$H$2+F15-I$9-G$9-E$9-C$9)&lt;=0),G15=0),I14, IF((I14-$I$9-$H$2)&lt;=0,I14,IF(G15=0,$H$2-F15+I$9+G$9+E$9+C$9,I$9)))</f>
        <v>0</v>
      </c>
      <c r="I15" s="81">
        <f t="shared" si="2"/>
        <v>0</v>
      </c>
      <c r="J15" s="81">
        <f t="shared" ref="J15:J78" si="22">IF(AND(((K14-$H$2+H15+F15+D15+B15-K$9-I$9-G$9-E$9-C$9)&lt;=0),I15+G15+E15+C15=0),K14, IF(AND((K14-K$9-$H$2)&lt;=0, I15=0),K14,IF(K$9&gt;=K14, K14, IF(AND(I15=0,G15=0,E15=0,C15=0), $H$2-H15-F15-D15-B15+K$9+I$9+G$9+E$9+C$9,K$9))))</f>
        <v>0</v>
      </c>
      <c r="K15" s="81">
        <f t="shared" si="3"/>
        <v>0</v>
      </c>
      <c r="L15" s="81">
        <f t="shared" ref="L15:L78" si="23">IF(AND(((M14-$H$2+J15+H15+F15+D15-M$9-K$9-I$9-G$9-E$9-C$9)&lt;=0),K15+I15+G15+E15=0),M14, IF(AND((M14-M$9-$H$2)&lt;=0, K15=0),M14,IF(M$9&gt;=M14, M14, IF(AND(K15=0,I15=0,G15=0,E15=0), $H$2-J15-H15-F15-D15+M$9+K$9+I$9+G$9+E$9+C$9,M$9))))</f>
        <v>0</v>
      </c>
      <c r="M15" s="81">
        <f t="shared" si="4"/>
        <v>0</v>
      </c>
      <c r="N15" s="81">
        <f t="shared" ref="N15:N78" si="24">IF(AND(((O14-$H$2+L15+J15+H15+F15-O$9-M$9-K$9-I$9-G$9-E$9-C$9)&lt;=0),M15+K15+I15+G15=0),O14, IF(AND((O14-O$9-$H$2)&lt;=0, M15=0),O14,IF(O$9&gt;=O14, O14, IF(AND(M15=0,K15=0,I15=0,G15=0), $H$2-L15-J15-H15-F15+O$9+M$9+K$9+I$9+G$9+E$9+C$9,O$9))))</f>
        <v>0</v>
      </c>
      <c r="O15" s="81">
        <f>IF((O14-N15)&lt;=0.0001,0,(O14-N15)*(1+(O$10/12)))</f>
        <v>0</v>
      </c>
      <c r="P15" s="81">
        <f t="shared" ref="P15:P78" si="25">IF(AND(((Q14-$H$2+N15+L15+J15+H15-Q$9-O$9-M$9-K$9-I$9-G$9-E$9-C$9)&lt;=0),O15+M15+K15+I15=0),Q14, IF(AND((Q14-Q$9-$H$2)&lt;=0, O15=0),Q14,IF(Q$9&gt;=Q14, Q14, IF(AND(O15=0,M15=0,K15=0,I15=0), $H$2-N15-L15-J15-H15+Q$9+O$9+M$9+K$9+I$9+G$9+E$9+C$9,Q$9))))</f>
        <v>0</v>
      </c>
      <c r="Q15" s="81">
        <f t="shared" si="6"/>
        <v>0</v>
      </c>
      <c r="R15" s="81">
        <f t="shared" ref="R15:R78" si="26">IF(AND(((S14-$H$2+P15+N15+L15+J15-S$9-Q$9-O$9-M$9-K$9-I$9-G$9-E$9-C$9)&lt;=0),Q15+O15+M15+K15=0),S14, IF(AND((S14-S$9-$H$2)&lt;=0, Q15=0),S14,IF(S$9&gt;=S14, S14, IF(AND(Q15=0,O15=0,M15=0,K15=0), $H$2-P15-N15-L15-J15+S$9+Q$9+O$9+M$9+K$9+I$9+G$9+E$9+C$9,S$9))))</f>
        <v>0</v>
      </c>
      <c r="S15" s="81">
        <f t="shared" si="7"/>
        <v>0</v>
      </c>
      <c r="T15" s="81">
        <f t="shared" ref="T15:T78" si="27">IF(AND(((U14-$H$2+R15+P15+N15+L15-U$9-S$9-Q$9-O$9-M$9-K$9-I$9-G$9-E$9-C$9)&lt;=0),S15+Q15+O15+M15=0),U14, IF(AND((U14-U$9-$H$2)&lt;=0, S15=0),U14,IF(U$9&gt;=U14, U14, IF(AND(S15=0,Q15=0,O15=0,M15=0), $H$2-R15-P15-N15-L15+U$9+S$9+Q$9+O$9+M$9+K$9+I$9+G$9+E$9+C$9,U$9))))</f>
        <v>0</v>
      </c>
      <c r="U15" s="81">
        <f t="shared" si="8"/>
        <v>0</v>
      </c>
      <c r="V15" s="81">
        <f t="shared" ref="V15:V78" si="28">IF(AND(((W14-$H$2+T15+R15+P15+N15-W$9-U$9-S$9-Q$9-O$9-M$9-K$9-I$9-G$9-E$9-C$9)&lt;=0),U15+S15+Q15+O15=0),W14, IF(AND((W14-W$9-$H$2)&lt;=0, U15=0),W14,IF(W$9&gt;=W14, W14, IF(AND(U15=0,S15=0,Q15=0,O15=0), $H$2-T15-R15-P15-N15+W$9+U$9+S$9+Q$9+O$9+M$9+K$9+I$9+G$9+E$9+C$9,W$9))))</f>
        <v>0</v>
      </c>
      <c r="W15" s="81">
        <f t="shared" si="9"/>
        <v>0</v>
      </c>
      <c r="X15" s="81">
        <f t="shared" ref="X15:X78" si="29">IF(AND(((Y14-$H$2+V15+T15+R15+P15-Y$9-W$9-U$9-S$9-Q$9-O$9-M$9-K$9-I$9-G$9-E$9-C$9)&lt;=0),W15+U15+S15+Q15=0),Y14, IF(AND((Y14-Y$9-$H$2)&lt;=0, W15=0),Y14,IF(Y$9&gt;=Y14, Y14, IF(AND(W15=0,U15=0,S15=0,Q15=0), $H$2-V15-T15-R15-P15+Y$9+W$9+U$9+S$9+Q$9+O$9+M$9+K$9+I$9+G$9+E$9+C$9,Y$9))))</f>
        <v>0</v>
      </c>
      <c r="Y15" s="81">
        <f t="shared" si="10"/>
        <v>0</v>
      </c>
      <c r="Z15" s="81">
        <f t="shared" si="11"/>
        <v>0</v>
      </c>
      <c r="AA15" s="81">
        <f t="shared" si="12"/>
        <v>0</v>
      </c>
      <c r="AB15" s="81">
        <f t="shared" si="13"/>
        <v>0</v>
      </c>
      <c r="AC15" s="81">
        <f t="shared" si="14"/>
        <v>0</v>
      </c>
      <c r="AD15" s="81">
        <f t="shared" ref="AD15:AD78" si="30">IF(AND(((AE14-$H$2+AB15-AE$9-AC$9-AA$9-Y$9-W$9-U$9-S$9-Q$9-O$9-M$9-K$9-I$9-G$9-E$9-C$9)&lt;=0),AC15=0),AE14, IF((AE14-AE$9-$H$2)&lt;=0,AE14,IF(AC15=0,$H$2-AB15+AE$9+AC$9+AA$9+Y$9+W$9+U$9+S$9+Q$9+O$9+M$9+K$9+I$9+G$9+E$9+C$9,AE$9)))</f>
        <v>0</v>
      </c>
      <c r="AE15" s="81">
        <f t="shared" si="15"/>
        <v>0</v>
      </c>
      <c r="AF15" s="81">
        <f t="shared" ref="AF15:AF78" si="31">IF(AND(((AG14-$H$2+AD15-AG$9-AE$9-AC$9-AA$9-Y$9-W$9-U$9-S$9-Q$9-O$9-M$9-K$9-I$9-G$9-E$9-C$9)&lt;=0),AE15=0),AG14, IF((AG14-AG$9-$H$2)&lt;=0,AG14,IF(AE15=0,$H$2-AD15+AG$9+AE$9+AC$9+AA$9+Y$9+W$9+U$9+S$9+Q$9+O$9+M$9+K$9+I$9+G$9+E$9+C$9,AG$9)))</f>
        <v>0</v>
      </c>
      <c r="AG15" s="81">
        <f t="shared" si="16"/>
        <v>0</v>
      </c>
    </row>
    <row r="16" spans="1:33" ht="15.5" x14ac:dyDescent="0.35">
      <c r="A16" s="57">
        <v>4</v>
      </c>
      <c r="B16" s="80">
        <f t="shared" si="17"/>
        <v>21180</v>
      </c>
      <c r="C16" s="81">
        <f t="shared" si="18"/>
        <v>67935.159435124922</v>
      </c>
      <c r="D16" s="81">
        <f t="shared" si="19"/>
        <v>33238.080000000002</v>
      </c>
      <c r="E16" s="81">
        <f t="shared" si="0"/>
        <v>1104198.7269858115</v>
      </c>
      <c r="F16" s="81">
        <f t="shared" si="20"/>
        <v>30421.52</v>
      </c>
      <c r="G16" s="81">
        <f t="shared" si="1"/>
        <v>907410.78249123902</v>
      </c>
      <c r="H16" s="81">
        <f t="shared" si="21"/>
        <v>0</v>
      </c>
      <c r="I16" s="81">
        <f t="shared" si="2"/>
        <v>0</v>
      </c>
      <c r="J16" s="81">
        <f t="shared" si="22"/>
        <v>0</v>
      </c>
      <c r="K16" s="81">
        <f t="shared" si="3"/>
        <v>0</v>
      </c>
      <c r="L16" s="81">
        <f t="shared" si="23"/>
        <v>0</v>
      </c>
      <c r="M16" s="81">
        <f t="shared" si="4"/>
        <v>0</v>
      </c>
      <c r="N16" s="81">
        <f t="shared" si="24"/>
        <v>0</v>
      </c>
      <c r="O16" s="81">
        <f t="shared" si="5"/>
        <v>0</v>
      </c>
      <c r="P16" s="81">
        <f t="shared" si="25"/>
        <v>0</v>
      </c>
      <c r="Q16" s="81">
        <f t="shared" si="6"/>
        <v>0</v>
      </c>
      <c r="R16" s="81">
        <f t="shared" si="26"/>
        <v>0</v>
      </c>
      <c r="S16" s="81">
        <f t="shared" si="7"/>
        <v>0</v>
      </c>
      <c r="T16" s="81">
        <f t="shared" si="27"/>
        <v>0</v>
      </c>
      <c r="U16" s="81">
        <f t="shared" si="8"/>
        <v>0</v>
      </c>
      <c r="V16" s="81">
        <f t="shared" si="28"/>
        <v>0</v>
      </c>
      <c r="W16" s="81">
        <f t="shared" si="9"/>
        <v>0</v>
      </c>
      <c r="X16" s="81">
        <f t="shared" si="29"/>
        <v>0</v>
      </c>
      <c r="Y16" s="81">
        <f t="shared" si="10"/>
        <v>0</v>
      </c>
      <c r="Z16" s="81">
        <f t="shared" si="11"/>
        <v>0</v>
      </c>
      <c r="AA16" s="81">
        <f t="shared" si="12"/>
        <v>0</v>
      </c>
      <c r="AB16" s="81">
        <f t="shared" si="13"/>
        <v>0</v>
      </c>
      <c r="AC16" s="81">
        <f t="shared" si="14"/>
        <v>0</v>
      </c>
      <c r="AD16" s="81">
        <f t="shared" si="30"/>
        <v>0</v>
      </c>
      <c r="AE16" s="81">
        <f t="shared" si="15"/>
        <v>0</v>
      </c>
      <c r="AF16" s="81">
        <f t="shared" si="31"/>
        <v>0</v>
      </c>
      <c r="AG16" s="81">
        <f t="shared" si="16"/>
        <v>0</v>
      </c>
    </row>
    <row r="17" spans="1:33" ht="15.5" x14ac:dyDescent="0.35">
      <c r="A17" s="57">
        <v>5</v>
      </c>
      <c r="B17" s="80">
        <f t="shared" si="17"/>
        <v>21180</v>
      </c>
      <c r="C17" s="81">
        <f t="shared" si="18"/>
        <v>47920.142157716786</v>
      </c>
      <c r="D17" s="81">
        <f t="shared" si="19"/>
        <v>33238.080000000002</v>
      </c>
      <c r="E17" s="81">
        <f t="shared" si="0"/>
        <v>1087382.0435729274</v>
      </c>
      <c r="F17" s="81">
        <f t="shared" si="20"/>
        <v>30421.52</v>
      </c>
      <c r="G17" s="81">
        <f t="shared" si="1"/>
        <v>880643.3844182858</v>
      </c>
      <c r="H17" s="81">
        <f t="shared" si="21"/>
        <v>0</v>
      </c>
      <c r="I17" s="81">
        <f t="shared" si="2"/>
        <v>0</v>
      </c>
      <c r="J17" s="81">
        <f t="shared" si="22"/>
        <v>0</v>
      </c>
      <c r="K17" s="81">
        <f t="shared" si="3"/>
        <v>0</v>
      </c>
      <c r="L17" s="81">
        <f t="shared" si="23"/>
        <v>0</v>
      </c>
      <c r="M17" s="81">
        <f t="shared" si="4"/>
        <v>0</v>
      </c>
      <c r="N17" s="81">
        <f t="shared" si="24"/>
        <v>0</v>
      </c>
      <c r="O17" s="81">
        <f t="shared" si="5"/>
        <v>0</v>
      </c>
      <c r="P17" s="81">
        <f t="shared" si="25"/>
        <v>0</v>
      </c>
      <c r="Q17" s="81">
        <f t="shared" si="6"/>
        <v>0</v>
      </c>
      <c r="R17" s="81">
        <f t="shared" si="26"/>
        <v>0</v>
      </c>
      <c r="S17" s="81">
        <f t="shared" si="7"/>
        <v>0</v>
      </c>
      <c r="T17" s="81">
        <f t="shared" si="27"/>
        <v>0</v>
      </c>
      <c r="U17" s="81">
        <f t="shared" si="8"/>
        <v>0</v>
      </c>
      <c r="V17" s="81">
        <f t="shared" si="28"/>
        <v>0</v>
      </c>
      <c r="W17" s="81">
        <f t="shared" si="9"/>
        <v>0</v>
      </c>
      <c r="X17" s="81">
        <f t="shared" si="29"/>
        <v>0</v>
      </c>
      <c r="Y17" s="81">
        <f t="shared" si="10"/>
        <v>0</v>
      </c>
      <c r="Z17" s="81">
        <f t="shared" si="11"/>
        <v>0</v>
      </c>
      <c r="AA17" s="81">
        <f t="shared" si="12"/>
        <v>0</v>
      </c>
      <c r="AB17" s="81">
        <f t="shared" si="13"/>
        <v>0</v>
      </c>
      <c r="AC17" s="81">
        <f t="shared" si="14"/>
        <v>0</v>
      </c>
      <c r="AD17" s="81">
        <f t="shared" si="30"/>
        <v>0</v>
      </c>
      <c r="AE17" s="81">
        <f t="shared" si="15"/>
        <v>0</v>
      </c>
      <c r="AF17" s="81">
        <f t="shared" si="31"/>
        <v>0</v>
      </c>
      <c r="AG17" s="81">
        <f t="shared" si="16"/>
        <v>0</v>
      </c>
    </row>
    <row r="18" spans="1:33" ht="15.5" x14ac:dyDescent="0.35">
      <c r="A18" s="57">
        <v>6</v>
      </c>
      <c r="B18" s="80">
        <f t="shared" si="17"/>
        <v>21180</v>
      </c>
      <c r="C18" s="81">
        <f t="shared" si="18"/>
        <v>27406.417366479898</v>
      </c>
      <c r="D18" s="81">
        <f t="shared" si="19"/>
        <v>33238.080000000002</v>
      </c>
      <c r="E18" s="81">
        <f t="shared" si="0"/>
        <v>1070307.5043477123</v>
      </c>
      <c r="F18" s="81">
        <f t="shared" si="20"/>
        <v>30421.52</v>
      </c>
      <c r="G18" s="81">
        <f t="shared" si="1"/>
        <v>853764.4555200286</v>
      </c>
      <c r="H18" s="81">
        <f t="shared" si="21"/>
        <v>0</v>
      </c>
      <c r="I18" s="81">
        <f t="shared" si="2"/>
        <v>0</v>
      </c>
      <c r="J18" s="81">
        <f t="shared" si="22"/>
        <v>0</v>
      </c>
      <c r="K18" s="81">
        <f t="shared" si="3"/>
        <v>0</v>
      </c>
      <c r="L18" s="81">
        <f t="shared" si="23"/>
        <v>0</v>
      </c>
      <c r="M18" s="81">
        <f t="shared" si="4"/>
        <v>0</v>
      </c>
      <c r="N18" s="81">
        <f t="shared" si="24"/>
        <v>0</v>
      </c>
      <c r="O18" s="81">
        <f t="shared" si="5"/>
        <v>0</v>
      </c>
      <c r="P18" s="81">
        <f t="shared" si="25"/>
        <v>0</v>
      </c>
      <c r="Q18" s="81">
        <f t="shared" si="6"/>
        <v>0</v>
      </c>
      <c r="R18" s="81">
        <f t="shared" si="26"/>
        <v>0</v>
      </c>
      <c r="S18" s="81">
        <f t="shared" si="7"/>
        <v>0</v>
      </c>
      <c r="T18" s="81">
        <f t="shared" si="27"/>
        <v>0</v>
      </c>
      <c r="U18" s="81">
        <f t="shared" si="8"/>
        <v>0</v>
      </c>
      <c r="V18" s="81">
        <f t="shared" si="28"/>
        <v>0</v>
      </c>
      <c r="W18" s="81">
        <f t="shared" si="9"/>
        <v>0</v>
      </c>
      <c r="X18" s="81">
        <f t="shared" si="29"/>
        <v>0</v>
      </c>
      <c r="Y18" s="81">
        <f t="shared" si="10"/>
        <v>0</v>
      </c>
      <c r="Z18" s="81">
        <f t="shared" si="11"/>
        <v>0</v>
      </c>
      <c r="AA18" s="81">
        <f t="shared" si="12"/>
        <v>0</v>
      </c>
      <c r="AB18" s="81">
        <f t="shared" si="13"/>
        <v>0</v>
      </c>
      <c r="AC18" s="81">
        <f t="shared" si="14"/>
        <v>0</v>
      </c>
      <c r="AD18" s="81">
        <f t="shared" si="30"/>
        <v>0</v>
      </c>
      <c r="AE18" s="81">
        <f t="shared" si="15"/>
        <v>0</v>
      </c>
      <c r="AF18" s="81">
        <f t="shared" si="31"/>
        <v>0</v>
      </c>
      <c r="AG18" s="81">
        <f t="shared" si="16"/>
        <v>0</v>
      </c>
    </row>
    <row r="19" spans="1:33" ht="15.5" x14ac:dyDescent="0.35">
      <c r="A19" s="57">
        <v>7</v>
      </c>
      <c r="B19" s="80">
        <f t="shared" si="17"/>
        <v>21180</v>
      </c>
      <c r="C19" s="81">
        <f t="shared" si="18"/>
        <v>6381.5589325280225</v>
      </c>
      <c r="D19" s="81">
        <f t="shared" si="19"/>
        <v>33238.080000000002</v>
      </c>
      <c r="E19" s="81">
        <f t="shared" si="0"/>
        <v>1052971.155521044</v>
      </c>
      <c r="F19" s="81">
        <f t="shared" si="20"/>
        <v>30421.52</v>
      </c>
      <c r="G19" s="81">
        <f t="shared" si="1"/>
        <v>826773.53108469537</v>
      </c>
      <c r="H19" s="81">
        <f t="shared" si="21"/>
        <v>0</v>
      </c>
      <c r="I19" s="81">
        <f t="shared" si="2"/>
        <v>0</v>
      </c>
      <c r="J19" s="81">
        <f t="shared" si="22"/>
        <v>0</v>
      </c>
      <c r="K19" s="81">
        <f t="shared" si="3"/>
        <v>0</v>
      </c>
      <c r="L19" s="81">
        <f t="shared" si="23"/>
        <v>0</v>
      </c>
      <c r="M19" s="81">
        <f t="shared" si="4"/>
        <v>0</v>
      </c>
      <c r="N19" s="81">
        <f t="shared" si="24"/>
        <v>0</v>
      </c>
      <c r="O19" s="81">
        <f t="shared" si="5"/>
        <v>0</v>
      </c>
      <c r="P19" s="81">
        <f t="shared" si="25"/>
        <v>0</v>
      </c>
      <c r="Q19" s="81">
        <f t="shared" si="6"/>
        <v>0</v>
      </c>
      <c r="R19" s="81">
        <f t="shared" si="26"/>
        <v>0</v>
      </c>
      <c r="S19" s="81">
        <f t="shared" si="7"/>
        <v>0</v>
      </c>
      <c r="T19" s="81">
        <f t="shared" si="27"/>
        <v>0</v>
      </c>
      <c r="U19" s="81">
        <f t="shared" si="8"/>
        <v>0</v>
      </c>
      <c r="V19" s="81">
        <f t="shared" si="28"/>
        <v>0</v>
      </c>
      <c r="W19" s="81">
        <f t="shared" si="9"/>
        <v>0</v>
      </c>
      <c r="X19" s="81">
        <f t="shared" si="29"/>
        <v>0</v>
      </c>
      <c r="Y19" s="81">
        <f t="shared" si="10"/>
        <v>0</v>
      </c>
      <c r="Z19" s="81">
        <f t="shared" si="11"/>
        <v>0</v>
      </c>
      <c r="AA19" s="81">
        <f t="shared" si="12"/>
        <v>0</v>
      </c>
      <c r="AB19" s="81">
        <f t="shared" si="13"/>
        <v>0</v>
      </c>
      <c r="AC19" s="81">
        <f t="shared" si="14"/>
        <v>0</v>
      </c>
      <c r="AD19" s="81">
        <f t="shared" si="30"/>
        <v>0</v>
      </c>
      <c r="AE19" s="81">
        <f t="shared" si="15"/>
        <v>0</v>
      </c>
      <c r="AF19" s="81">
        <f t="shared" si="31"/>
        <v>0</v>
      </c>
      <c r="AG19" s="81">
        <f t="shared" si="16"/>
        <v>0</v>
      </c>
    </row>
    <row r="20" spans="1:33" ht="15.5" x14ac:dyDescent="0.35">
      <c r="A20" s="57">
        <v>8</v>
      </c>
      <c r="B20" s="80">
        <f t="shared" si="17"/>
        <v>6381.5589325280234</v>
      </c>
      <c r="C20" s="81">
        <f t="shared" si="18"/>
        <v>0</v>
      </c>
      <c r="D20" s="81">
        <f t="shared" si="19"/>
        <v>48036.521067471978</v>
      </c>
      <c r="E20" s="81">
        <f t="shared" si="0"/>
        <v>1020343.6321818603</v>
      </c>
      <c r="F20" s="81">
        <f t="shared" si="20"/>
        <v>30421.52</v>
      </c>
      <c r="G20" s="81">
        <f t="shared" si="1"/>
        <v>799670.14446421491</v>
      </c>
      <c r="H20" s="81">
        <f t="shared" si="21"/>
        <v>0</v>
      </c>
      <c r="I20" s="81">
        <f t="shared" si="2"/>
        <v>0</v>
      </c>
      <c r="J20" s="81">
        <f t="shared" si="22"/>
        <v>0</v>
      </c>
      <c r="K20" s="81">
        <f t="shared" si="3"/>
        <v>0</v>
      </c>
      <c r="L20" s="81">
        <f t="shared" si="23"/>
        <v>0</v>
      </c>
      <c r="M20" s="81">
        <f t="shared" si="4"/>
        <v>0</v>
      </c>
      <c r="N20" s="81">
        <f t="shared" si="24"/>
        <v>0</v>
      </c>
      <c r="O20" s="81">
        <f t="shared" si="5"/>
        <v>0</v>
      </c>
      <c r="P20" s="81">
        <f t="shared" si="25"/>
        <v>0</v>
      </c>
      <c r="Q20" s="81">
        <f t="shared" si="6"/>
        <v>0</v>
      </c>
      <c r="R20" s="81">
        <f t="shared" si="26"/>
        <v>0</v>
      </c>
      <c r="S20" s="81">
        <f t="shared" si="7"/>
        <v>0</v>
      </c>
      <c r="T20" s="81">
        <f t="shared" si="27"/>
        <v>0</v>
      </c>
      <c r="U20" s="81">
        <f t="shared" si="8"/>
        <v>0</v>
      </c>
      <c r="V20" s="81">
        <f t="shared" si="28"/>
        <v>0</v>
      </c>
      <c r="W20" s="81">
        <f t="shared" si="9"/>
        <v>0</v>
      </c>
      <c r="X20" s="81">
        <f t="shared" si="29"/>
        <v>0</v>
      </c>
      <c r="Y20" s="81">
        <f t="shared" si="10"/>
        <v>0</v>
      </c>
      <c r="Z20" s="81">
        <f t="shared" si="11"/>
        <v>0</v>
      </c>
      <c r="AA20" s="81">
        <f t="shared" si="12"/>
        <v>0</v>
      </c>
      <c r="AB20" s="81">
        <f t="shared" si="13"/>
        <v>0</v>
      </c>
      <c r="AC20" s="81">
        <f t="shared" si="14"/>
        <v>0</v>
      </c>
      <c r="AD20" s="81">
        <f t="shared" si="30"/>
        <v>0</v>
      </c>
      <c r="AE20" s="81">
        <f t="shared" si="15"/>
        <v>0</v>
      </c>
      <c r="AF20" s="81">
        <f t="shared" si="31"/>
        <v>0</v>
      </c>
      <c r="AG20" s="81">
        <f t="shared" si="16"/>
        <v>0</v>
      </c>
    </row>
    <row r="21" spans="1:33" ht="15.5" x14ac:dyDescent="0.35">
      <c r="A21" s="57">
        <v>9</v>
      </c>
      <c r="B21" s="80">
        <f t="shared" si="17"/>
        <v>0</v>
      </c>
      <c r="C21" s="81">
        <f t="shared" si="18"/>
        <v>0</v>
      </c>
      <c r="D21" s="81">
        <f t="shared" si="19"/>
        <v>54418.080000000002</v>
      </c>
      <c r="E21" s="81">
        <f t="shared" si="0"/>
        <v>980736.41064864898</v>
      </c>
      <c r="F21" s="81">
        <f t="shared" si="20"/>
        <v>30421.52</v>
      </c>
      <c r="G21" s="81">
        <f t="shared" si="1"/>
        <v>772453.8270661491</v>
      </c>
      <c r="H21" s="81">
        <f t="shared" si="21"/>
        <v>0</v>
      </c>
      <c r="I21" s="81">
        <f t="shared" si="2"/>
        <v>0</v>
      </c>
      <c r="J21" s="81">
        <f t="shared" si="22"/>
        <v>0</v>
      </c>
      <c r="K21" s="81">
        <f t="shared" si="3"/>
        <v>0</v>
      </c>
      <c r="L21" s="81">
        <f t="shared" si="23"/>
        <v>0</v>
      </c>
      <c r="M21" s="81">
        <f t="shared" si="4"/>
        <v>0</v>
      </c>
      <c r="N21" s="81">
        <f t="shared" si="24"/>
        <v>0</v>
      </c>
      <c r="O21" s="81">
        <f t="shared" si="5"/>
        <v>0</v>
      </c>
      <c r="P21" s="81">
        <f t="shared" si="25"/>
        <v>0</v>
      </c>
      <c r="Q21" s="81">
        <f t="shared" si="6"/>
        <v>0</v>
      </c>
      <c r="R21" s="81">
        <f t="shared" si="26"/>
        <v>0</v>
      </c>
      <c r="S21" s="81">
        <f t="shared" si="7"/>
        <v>0</v>
      </c>
      <c r="T21" s="81">
        <f t="shared" si="27"/>
        <v>0</v>
      </c>
      <c r="U21" s="81">
        <f t="shared" si="8"/>
        <v>0</v>
      </c>
      <c r="V21" s="81">
        <f t="shared" si="28"/>
        <v>0</v>
      </c>
      <c r="W21" s="81">
        <f t="shared" si="9"/>
        <v>0</v>
      </c>
      <c r="X21" s="81">
        <f t="shared" si="29"/>
        <v>0</v>
      </c>
      <c r="Y21" s="81">
        <f t="shared" si="10"/>
        <v>0</v>
      </c>
      <c r="Z21" s="81">
        <f t="shared" si="11"/>
        <v>0</v>
      </c>
      <c r="AA21" s="81">
        <f t="shared" si="12"/>
        <v>0</v>
      </c>
      <c r="AB21" s="81">
        <f t="shared" si="13"/>
        <v>0</v>
      </c>
      <c r="AC21" s="81">
        <f t="shared" si="14"/>
        <v>0</v>
      </c>
      <c r="AD21" s="81">
        <f t="shared" si="30"/>
        <v>0</v>
      </c>
      <c r="AE21" s="81">
        <f t="shared" si="15"/>
        <v>0</v>
      </c>
      <c r="AF21" s="81">
        <f t="shared" si="31"/>
        <v>0</v>
      </c>
      <c r="AG21" s="81">
        <f t="shared" si="16"/>
        <v>0</v>
      </c>
    </row>
    <row r="22" spans="1:33" ht="15.5" x14ac:dyDescent="0.35">
      <c r="A22" s="57">
        <v>10</v>
      </c>
      <c r="B22" s="80">
        <f t="shared" si="17"/>
        <v>0</v>
      </c>
      <c r="C22" s="81">
        <f t="shared" si="18"/>
        <v>0</v>
      </c>
      <c r="D22" s="81">
        <f t="shared" si="19"/>
        <v>54418.080000000002</v>
      </c>
      <c r="E22" s="81">
        <f t="shared" si="0"/>
        <v>940521.87838526175</v>
      </c>
      <c r="F22" s="81">
        <f t="shared" si="20"/>
        <v>30421.52</v>
      </c>
      <c r="G22" s="81">
        <f t="shared" si="1"/>
        <v>745124.10834559135</v>
      </c>
      <c r="H22" s="81">
        <f t="shared" si="21"/>
        <v>0</v>
      </c>
      <c r="I22" s="81">
        <f t="shared" si="2"/>
        <v>0</v>
      </c>
      <c r="J22" s="81">
        <f t="shared" si="22"/>
        <v>0</v>
      </c>
      <c r="K22" s="81">
        <f t="shared" si="3"/>
        <v>0</v>
      </c>
      <c r="L22" s="81">
        <f t="shared" si="23"/>
        <v>0</v>
      </c>
      <c r="M22" s="81">
        <f t="shared" si="4"/>
        <v>0</v>
      </c>
      <c r="N22" s="81">
        <f t="shared" si="24"/>
        <v>0</v>
      </c>
      <c r="O22" s="81">
        <f t="shared" si="5"/>
        <v>0</v>
      </c>
      <c r="P22" s="81">
        <f t="shared" si="25"/>
        <v>0</v>
      </c>
      <c r="Q22" s="81">
        <f t="shared" si="6"/>
        <v>0</v>
      </c>
      <c r="R22" s="81">
        <f t="shared" si="26"/>
        <v>0</v>
      </c>
      <c r="S22" s="81">
        <f t="shared" si="7"/>
        <v>0</v>
      </c>
      <c r="T22" s="81">
        <f t="shared" si="27"/>
        <v>0</v>
      </c>
      <c r="U22" s="81">
        <f t="shared" si="8"/>
        <v>0</v>
      </c>
      <c r="V22" s="81">
        <f t="shared" si="28"/>
        <v>0</v>
      </c>
      <c r="W22" s="81">
        <f t="shared" si="9"/>
        <v>0</v>
      </c>
      <c r="X22" s="81">
        <f t="shared" si="29"/>
        <v>0</v>
      </c>
      <c r="Y22" s="81">
        <f t="shared" si="10"/>
        <v>0</v>
      </c>
      <c r="Z22" s="81">
        <f t="shared" si="11"/>
        <v>0</v>
      </c>
      <c r="AA22" s="81">
        <f t="shared" si="12"/>
        <v>0</v>
      </c>
      <c r="AB22" s="81">
        <f t="shared" si="13"/>
        <v>0</v>
      </c>
      <c r="AC22" s="81">
        <f t="shared" si="14"/>
        <v>0</v>
      </c>
      <c r="AD22" s="81">
        <f t="shared" si="30"/>
        <v>0</v>
      </c>
      <c r="AE22" s="81">
        <f t="shared" si="15"/>
        <v>0</v>
      </c>
      <c r="AF22" s="81">
        <f t="shared" si="31"/>
        <v>0</v>
      </c>
      <c r="AG22" s="81">
        <f t="shared" si="16"/>
        <v>0</v>
      </c>
    </row>
    <row r="23" spans="1:33" ht="15.5" x14ac:dyDescent="0.35">
      <c r="A23" s="57">
        <v>11</v>
      </c>
      <c r="B23" s="80">
        <f t="shared" si="17"/>
        <v>0</v>
      </c>
      <c r="C23" s="81">
        <f t="shared" si="18"/>
        <v>0</v>
      </c>
      <c r="D23" s="81">
        <f t="shared" si="19"/>
        <v>54418.080000000002</v>
      </c>
      <c r="E23" s="81">
        <f t="shared" si="0"/>
        <v>899690.72329383588</v>
      </c>
      <c r="F23" s="81">
        <f t="shared" si="20"/>
        <v>30421.52</v>
      </c>
      <c r="G23" s="81">
        <f t="shared" si="1"/>
        <v>717680.51579703123</v>
      </c>
      <c r="H23" s="81">
        <f t="shared" si="21"/>
        <v>0</v>
      </c>
      <c r="I23" s="81">
        <f t="shared" si="2"/>
        <v>0</v>
      </c>
      <c r="J23" s="81">
        <f t="shared" si="22"/>
        <v>0</v>
      </c>
      <c r="K23" s="81">
        <f t="shared" si="3"/>
        <v>0</v>
      </c>
      <c r="L23" s="81">
        <f t="shared" si="23"/>
        <v>0</v>
      </c>
      <c r="M23" s="81">
        <f t="shared" si="4"/>
        <v>0</v>
      </c>
      <c r="N23" s="81">
        <f t="shared" si="24"/>
        <v>0</v>
      </c>
      <c r="O23" s="81">
        <f t="shared" si="5"/>
        <v>0</v>
      </c>
      <c r="P23" s="81">
        <f t="shared" si="25"/>
        <v>0</v>
      </c>
      <c r="Q23" s="81">
        <f t="shared" si="6"/>
        <v>0</v>
      </c>
      <c r="R23" s="81">
        <f t="shared" si="26"/>
        <v>0</v>
      </c>
      <c r="S23" s="81">
        <f t="shared" si="7"/>
        <v>0</v>
      </c>
      <c r="T23" s="81">
        <f t="shared" si="27"/>
        <v>0</v>
      </c>
      <c r="U23" s="81">
        <f t="shared" si="8"/>
        <v>0</v>
      </c>
      <c r="V23" s="81">
        <f t="shared" si="28"/>
        <v>0</v>
      </c>
      <c r="W23" s="81">
        <f t="shared" si="9"/>
        <v>0</v>
      </c>
      <c r="X23" s="81">
        <f t="shared" si="29"/>
        <v>0</v>
      </c>
      <c r="Y23" s="81">
        <f t="shared" si="10"/>
        <v>0</v>
      </c>
      <c r="Z23" s="81">
        <f t="shared" si="11"/>
        <v>0</v>
      </c>
      <c r="AA23" s="81">
        <f t="shared" si="12"/>
        <v>0</v>
      </c>
      <c r="AB23" s="81">
        <f t="shared" si="13"/>
        <v>0</v>
      </c>
      <c r="AC23" s="81">
        <f t="shared" si="14"/>
        <v>0</v>
      </c>
      <c r="AD23" s="81">
        <f t="shared" si="30"/>
        <v>0</v>
      </c>
      <c r="AE23" s="81">
        <f t="shared" si="15"/>
        <v>0</v>
      </c>
      <c r="AF23" s="81">
        <f t="shared" si="31"/>
        <v>0</v>
      </c>
      <c r="AG23" s="81">
        <f t="shared" si="16"/>
        <v>0</v>
      </c>
    </row>
    <row r="24" spans="1:33" ht="15.5" x14ac:dyDescent="0.35">
      <c r="A24" s="57">
        <v>12</v>
      </c>
      <c r="B24" s="80">
        <f t="shared" si="17"/>
        <v>0</v>
      </c>
      <c r="C24" s="81">
        <f t="shared" si="18"/>
        <v>0</v>
      </c>
      <c r="D24" s="81">
        <f t="shared" si="19"/>
        <v>54418.080000000002</v>
      </c>
      <c r="E24" s="81">
        <f t="shared" si="0"/>
        <v>858233.49049100815</v>
      </c>
      <c r="F24" s="81">
        <f t="shared" si="20"/>
        <v>30421.52</v>
      </c>
      <c r="G24" s="81">
        <f t="shared" si="1"/>
        <v>690122.57494618546</v>
      </c>
      <c r="H24" s="81">
        <f t="shared" si="21"/>
        <v>0</v>
      </c>
      <c r="I24" s="81">
        <f t="shared" si="2"/>
        <v>0</v>
      </c>
      <c r="J24" s="81">
        <f t="shared" si="22"/>
        <v>0</v>
      </c>
      <c r="K24" s="81">
        <f t="shared" si="3"/>
        <v>0</v>
      </c>
      <c r="L24" s="81">
        <f t="shared" si="23"/>
        <v>0</v>
      </c>
      <c r="M24" s="81">
        <f t="shared" si="4"/>
        <v>0</v>
      </c>
      <c r="N24" s="81">
        <f t="shared" si="24"/>
        <v>0</v>
      </c>
      <c r="O24" s="81">
        <f t="shared" si="5"/>
        <v>0</v>
      </c>
      <c r="P24" s="81">
        <f t="shared" si="25"/>
        <v>0</v>
      </c>
      <c r="Q24" s="81">
        <f t="shared" si="6"/>
        <v>0</v>
      </c>
      <c r="R24" s="81">
        <f t="shared" si="26"/>
        <v>0</v>
      </c>
      <c r="S24" s="81">
        <f t="shared" si="7"/>
        <v>0</v>
      </c>
      <c r="T24" s="81">
        <f t="shared" si="27"/>
        <v>0</v>
      </c>
      <c r="U24" s="81">
        <f t="shared" si="8"/>
        <v>0</v>
      </c>
      <c r="V24" s="81">
        <f t="shared" si="28"/>
        <v>0</v>
      </c>
      <c r="W24" s="81">
        <f t="shared" si="9"/>
        <v>0</v>
      </c>
      <c r="X24" s="81">
        <f t="shared" si="29"/>
        <v>0</v>
      </c>
      <c r="Y24" s="81">
        <f t="shared" si="10"/>
        <v>0</v>
      </c>
      <c r="Z24" s="81">
        <f t="shared" si="11"/>
        <v>0</v>
      </c>
      <c r="AA24" s="81">
        <f t="shared" si="12"/>
        <v>0</v>
      </c>
      <c r="AB24" s="81">
        <f t="shared" si="13"/>
        <v>0</v>
      </c>
      <c r="AC24" s="81">
        <f t="shared" si="14"/>
        <v>0</v>
      </c>
      <c r="AD24" s="81">
        <f t="shared" si="30"/>
        <v>0</v>
      </c>
      <c r="AE24" s="81">
        <f t="shared" si="15"/>
        <v>0</v>
      </c>
      <c r="AF24" s="81">
        <f t="shared" si="31"/>
        <v>0</v>
      </c>
      <c r="AG24" s="81">
        <f t="shared" si="16"/>
        <v>0</v>
      </c>
    </row>
    <row r="25" spans="1:33" ht="15.5" x14ac:dyDescent="0.35">
      <c r="A25" s="57">
        <v>13</v>
      </c>
      <c r="B25" s="80">
        <f t="shared" si="17"/>
        <v>0</v>
      </c>
      <c r="C25" s="81">
        <f t="shared" si="18"/>
        <v>0</v>
      </c>
      <c r="D25" s="81">
        <f t="shared" si="19"/>
        <v>54418.080000000002</v>
      </c>
      <c r="E25" s="81">
        <f t="shared" si="0"/>
        <v>816140.58011853707</v>
      </c>
      <c r="F25" s="81">
        <f t="shared" si="20"/>
        <v>30421.52</v>
      </c>
      <c r="G25" s="81">
        <f t="shared" si="1"/>
        <v>662449.80934179458</v>
      </c>
      <c r="H25" s="81">
        <f t="shared" si="21"/>
        <v>0</v>
      </c>
      <c r="I25" s="81">
        <f t="shared" si="2"/>
        <v>0</v>
      </c>
      <c r="J25" s="81">
        <f t="shared" si="22"/>
        <v>0</v>
      </c>
      <c r="K25" s="81">
        <f t="shared" si="3"/>
        <v>0</v>
      </c>
      <c r="L25" s="81">
        <f t="shared" si="23"/>
        <v>0</v>
      </c>
      <c r="M25" s="81">
        <f t="shared" si="4"/>
        <v>0</v>
      </c>
      <c r="N25" s="81">
        <f t="shared" si="24"/>
        <v>0</v>
      </c>
      <c r="O25" s="81">
        <f t="shared" si="5"/>
        <v>0</v>
      </c>
      <c r="P25" s="81">
        <f t="shared" si="25"/>
        <v>0</v>
      </c>
      <c r="Q25" s="81">
        <f t="shared" si="6"/>
        <v>0</v>
      </c>
      <c r="R25" s="81">
        <f t="shared" si="26"/>
        <v>0</v>
      </c>
      <c r="S25" s="81">
        <f t="shared" si="7"/>
        <v>0</v>
      </c>
      <c r="T25" s="81">
        <f t="shared" si="27"/>
        <v>0</v>
      </c>
      <c r="U25" s="81">
        <f t="shared" si="8"/>
        <v>0</v>
      </c>
      <c r="V25" s="81">
        <f t="shared" si="28"/>
        <v>0</v>
      </c>
      <c r="W25" s="81">
        <f t="shared" si="9"/>
        <v>0</v>
      </c>
      <c r="X25" s="81">
        <f t="shared" si="29"/>
        <v>0</v>
      </c>
      <c r="Y25" s="81">
        <f t="shared" si="10"/>
        <v>0</v>
      </c>
      <c r="Z25" s="81">
        <f t="shared" si="11"/>
        <v>0</v>
      </c>
      <c r="AA25" s="81">
        <f t="shared" si="12"/>
        <v>0</v>
      </c>
      <c r="AB25" s="81">
        <f t="shared" si="13"/>
        <v>0</v>
      </c>
      <c r="AC25" s="81">
        <f t="shared" si="14"/>
        <v>0</v>
      </c>
      <c r="AD25" s="81">
        <f t="shared" si="30"/>
        <v>0</v>
      </c>
      <c r="AE25" s="81">
        <f t="shared" si="15"/>
        <v>0</v>
      </c>
      <c r="AF25" s="81">
        <f t="shared" si="31"/>
        <v>0</v>
      </c>
      <c r="AG25" s="81">
        <f t="shared" si="16"/>
        <v>0</v>
      </c>
    </row>
    <row r="26" spans="1:33" ht="15.5" x14ac:dyDescent="0.35">
      <c r="A26" s="57">
        <v>14</v>
      </c>
      <c r="B26" s="80">
        <f t="shared" si="17"/>
        <v>0</v>
      </c>
      <c r="C26" s="81">
        <f t="shared" si="18"/>
        <v>0</v>
      </c>
      <c r="D26" s="81">
        <f t="shared" si="19"/>
        <v>54418.080000000002</v>
      </c>
      <c r="E26" s="81">
        <f t="shared" si="0"/>
        <v>773402.2451203547</v>
      </c>
      <c r="F26" s="81">
        <f t="shared" si="20"/>
        <v>30421.52</v>
      </c>
      <c r="G26" s="81">
        <f t="shared" si="1"/>
        <v>634661.74054738542</v>
      </c>
      <c r="H26" s="81">
        <f t="shared" si="21"/>
        <v>0</v>
      </c>
      <c r="I26" s="81">
        <f t="shared" si="2"/>
        <v>0</v>
      </c>
      <c r="J26" s="81">
        <f t="shared" si="22"/>
        <v>0</v>
      </c>
      <c r="K26" s="81">
        <f t="shared" si="3"/>
        <v>0</v>
      </c>
      <c r="L26" s="81">
        <f t="shared" si="23"/>
        <v>0</v>
      </c>
      <c r="M26" s="81">
        <f t="shared" si="4"/>
        <v>0</v>
      </c>
      <c r="N26" s="81">
        <f t="shared" si="24"/>
        <v>0</v>
      </c>
      <c r="O26" s="81">
        <f t="shared" si="5"/>
        <v>0</v>
      </c>
      <c r="P26" s="81">
        <f t="shared" si="25"/>
        <v>0</v>
      </c>
      <c r="Q26" s="81">
        <f t="shared" si="6"/>
        <v>0</v>
      </c>
      <c r="R26" s="81">
        <f t="shared" si="26"/>
        <v>0</v>
      </c>
      <c r="S26" s="81">
        <f t="shared" si="7"/>
        <v>0</v>
      </c>
      <c r="T26" s="81">
        <f t="shared" si="27"/>
        <v>0</v>
      </c>
      <c r="U26" s="81">
        <f t="shared" si="8"/>
        <v>0</v>
      </c>
      <c r="V26" s="81">
        <f t="shared" si="28"/>
        <v>0</v>
      </c>
      <c r="W26" s="81">
        <f t="shared" si="9"/>
        <v>0</v>
      </c>
      <c r="X26" s="81">
        <f t="shared" si="29"/>
        <v>0</v>
      </c>
      <c r="Y26" s="81">
        <f t="shared" si="10"/>
        <v>0</v>
      </c>
      <c r="Z26" s="81">
        <f t="shared" si="11"/>
        <v>0</v>
      </c>
      <c r="AA26" s="81">
        <f t="shared" si="12"/>
        <v>0</v>
      </c>
      <c r="AB26" s="81">
        <f t="shared" si="13"/>
        <v>0</v>
      </c>
      <c r="AC26" s="81">
        <f t="shared" si="14"/>
        <v>0</v>
      </c>
      <c r="AD26" s="81">
        <f t="shared" si="30"/>
        <v>0</v>
      </c>
      <c r="AE26" s="81">
        <f t="shared" si="15"/>
        <v>0</v>
      </c>
      <c r="AF26" s="81">
        <f t="shared" si="31"/>
        <v>0</v>
      </c>
      <c r="AG26" s="81">
        <f t="shared" si="16"/>
        <v>0</v>
      </c>
    </row>
    <row r="27" spans="1:33" ht="15.5" x14ac:dyDescent="0.35">
      <c r="A27" s="57">
        <v>15</v>
      </c>
      <c r="B27" s="80">
        <f t="shared" si="17"/>
        <v>0</v>
      </c>
      <c r="C27" s="81">
        <f t="shared" si="18"/>
        <v>0</v>
      </c>
      <c r="D27" s="81">
        <f t="shared" si="19"/>
        <v>54418.080000000002</v>
      </c>
      <c r="E27" s="81">
        <f t="shared" si="0"/>
        <v>730008.58898553357</v>
      </c>
      <c r="F27" s="81">
        <f t="shared" si="20"/>
        <v>30421.52</v>
      </c>
      <c r="G27" s="81">
        <f t="shared" si="1"/>
        <v>606757.88813299953</v>
      </c>
      <c r="H27" s="81">
        <f t="shared" si="21"/>
        <v>0</v>
      </c>
      <c r="I27" s="81">
        <f t="shared" si="2"/>
        <v>0</v>
      </c>
      <c r="J27" s="81">
        <f t="shared" si="22"/>
        <v>0</v>
      </c>
      <c r="K27" s="81">
        <f t="shared" si="3"/>
        <v>0</v>
      </c>
      <c r="L27" s="81">
        <f t="shared" si="23"/>
        <v>0</v>
      </c>
      <c r="M27" s="81">
        <f t="shared" si="4"/>
        <v>0</v>
      </c>
      <c r="N27" s="81">
        <f t="shared" si="24"/>
        <v>0</v>
      </c>
      <c r="O27" s="81">
        <f t="shared" si="5"/>
        <v>0</v>
      </c>
      <c r="P27" s="81">
        <f t="shared" si="25"/>
        <v>0</v>
      </c>
      <c r="Q27" s="81">
        <f t="shared" si="6"/>
        <v>0</v>
      </c>
      <c r="R27" s="81">
        <f t="shared" si="26"/>
        <v>0</v>
      </c>
      <c r="S27" s="81">
        <f t="shared" si="7"/>
        <v>0</v>
      </c>
      <c r="T27" s="81">
        <f t="shared" si="27"/>
        <v>0</v>
      </c>
      <c r="U27" s="81">
        <f t="shared" si="8"/>
        <v>0</v>
      </c>
      <c r="V27" s="81">
        <f t="shared" si="28"/>
        <v>0</v>
      </c>
      <c r="W27" s="81">
        <f t="shared" si="9"/>
        <v>0</v>
      </c>
      <c r="X27" s="81">
        <f t="shared" si="29"/>
        <v>0</v>
      </c>
      <c r="Y27" s="81">
        <f t="shared" si="10"/>
        <v>0</v>
      </c>
      <c r="Z27" s="81">
        <f t="shared" si="11"/>
        <v>0</v>
      </c>
      <c r="AA27" s="81">
        <f t="shared" si="12"/>
        <v>0</v>
      </c>
      <c r="AB27" s="81">
        <f t="shared" si="13"/>
        <v>0</v>
      </c>
      <c r="AC27" s="81">
        <f t="shared" si="14"/>
        <v>0</v>
      </c>
      <c r="AD27" s="81">
        <f t="shared" si="30"/>
        <v>0</v>
      </c>
      <c r="AE27" s="81">
        <f t="shared" si="15"/>
        <v>0</v>
      </c>
      <c r="AF27" s="81">
        <f t="shared" si="31"/>
        <v>0</v>
      </c>
      <c r="AG27" s="81">
        <f t="shared" si="16"/>
        <v>0</v>
      </c>
    </row>
    <row r="28" spans="1:33" s="76" customFormat="1" ht="15.5" x14ac:dyDescent="0.35">
      <c r="A28" s="75">
        <v>16</v>
      </c>
      <c r="B28" s="82">
        <f t="shared" si="17"/>
        <v>0</v>
      </c>
      <c r="C28" s="83">
        <f t="shared" si="18"/>
        <v>0</v>
      </c>
      <c r="D28" s="83">
        <f t="shared" si="19"/>
        <v>54418.080000000002</v>
      </c>
      <c r="E28" s="83">
        <f t="shared" si="0"/>
        <v>685949.56345664524</v>
      </c>
      <c r="F28" s="83">
        <f t="shared" si="20"/>
        <v>30421.52</v>
      </c>
      <c r="G28" s="83">
        <f t="shared" si="1"/>
        <v>578737.769666887</v>
      </c>
      <c r="H28" s="83">
        <f t="shared" si="21"/>
        <v>0</v>
      </c>
      <c r="I28" s="83">
        <f t="shared" si="2"/>
        <v>0</v>
      </c>
      <c r="J28" s="81">
        <f t="shared" si="22"/>
        <v>0</v>
      </c>
      <c r="K28" s="83">
        <f t="shared" si="3"/>
        <v>0</v>
      </c>
      <c r="L28" s="81">
        <f t="shared" si="23"/>
        <v>0</v>
      </c>
      <c r="M28" s="83">
        <f t="shared" si="4"/>
        <v>0</v>
      </c>
      <c r="N28" s="81">
        <f t="shared" si="24"/>
        <v>0</v>
      </c>
      <c r="O28" s="83">
        <f t="shared" si="5"/>
        <v>0</v>
      </c>
      <c r="P28" s="81">
        <f t="shared" si="25"/>
        <v>0</v>
      </c>
      <c r="Q28" s="83">
        <f t="shared" si="6"/>
        <v>0</v>
      </c>
      <c r="R28" s="81">
        <f t="shared" si="26"/>
        <v>0</v>
      </c>
      <c r="S28" s="83">
        <f t="shared" si="7"/>
        <v>0</v>
      </c>
      <c r="T28" s="81">
        <f t="shared" si="27"/>
        <v>0</v>
      </c>
      <c r="U28" s="83">
        <f t="shared" si="8"/>
        <v>0</v>
      </c>
      <c r="V28" s="81">
        <f t="shared" si="28"/>
        <v>0</v>
      </c>
      <c r="W28" s="83">
        <f t="shared" si="9"/>
        <v>0</v>
      </c>
      <c r="X28" s="81">
        <f t="shared" si="29"/>
        <v>0</v>
      </c>
      <c r="Y28" s="83">
        <f t="shared" si="10"/>
        <v>0</v>
      </c>
      <c r="Z28" s="83">
        <f t="shared" si="11"/>
        <v>0</v>
      </c>
      <c r="AA28" s="83">
        <f t="shared" si="12"/>
        <v>0</v>
      </c>
      <c r="AB28" s="83">
        <f t="shared" si="13"/>
        <v>0</v>
      </c>
      <c r="AC28" s="83">
        <f t="shared" si="14"/>
        <v>0</v>
      </c>
      <c r="AD28" s="83">
        <f t="shared" si="30"/>
        <v>0</v>
      </c>
      <c r="AE28" s="83">
        <f t="shared" si="15"/>
        <v>0</v>
      </c>
      <c r="AF28" s="83">
        <f t="shared" si="31"/>
        <v>0</v>
      </c>
      <c r="AG28" s="83">
        <f t="shared" si="16"/>
        <v>0</v>
      </c>
    </row>
    <row r="29" spans="1:33" ht="15.5" x14ac:dyDescent="0.35">
      <c r="A29" s="57">
        <v>17</v>
      </c>
      <c r="B29" s="80">
        <f t="shared" si="17"/>
        <v>0</v>
      </c>
      <c r="C29" s="81">
        <f t="shared" si="18"/>
        <v>0</v>
      </c>
      <c r="D29" s="81">
        <f t="shared" si="19"/>
        <v>54418.080000000002</v>
      </c>
      <c r="E29" s="81">
        <f t="shared" si="0"/>
        <v>641214.96620298061</v>
      </c>
      <c r="F29" s="81">
        <f t="shared" si="20"/>
        <v>30421.52</v>
      </c>
      <c r="G29" s="81">
        <f t="shared" si="1"/>
        <v>550600.90070716571</v>
      </c>
      <c r="H29" s="81">
        <f t="shared" si="21"/>
        <v>0</v>
      </c>
      <c r="I29" s="81">
        <f t="shared" si="2"/>
        <v>0</v>
      </c>
      <c r="J29" s="81">
        <f t="shared" si="22"/>
        <v>0</v>
      </c>
      <c r="K29" s="81">
        <f t="shared" si="3"/>
        <v>0</v>
      </c>
      <c r="L29" s="81">
        <f t="shared" si="23"/>
        <v>0</v>
      </c>
      <c r="M29" s="81">
        <f t="shared" si="4"/>
        <v>0</v>
      </c>
      <c r="N29" s="81">
        <f t="shared" si="24"/>
        <v>0</v>
      </c>
      <c r="O29" s="81">
        <f t="shared" si="5"/>
        <v>0</v>
      </c>
      <c r="P29" s="81">
        <f t="shared" si="25"/>
        <v>0</v>
      </c>
      <c r="Q29" s="81">
        <f t="shared" si="6"/>
        <v>0</v>
      </c>
      <c r="R29" s="81">
        <f t="shared" si="26"/>
        <v>0</v>
      </c>
      <c r="S29" s="81">
        <f t="shared" si="7"/>
        <v>0</v>
      </c>
      <c r="T29" s="81">
        <f t="shared" si="27"/>
        <v>0</v>
      </c>
      <c r="U29" s="81">
        <f t="shared" si="8"/>
        <v>0</v>
      </c>
      <c r="V29" s="81">
        <f t="shared" si="28"/>
        <v>0</v>
      </c>
      <c r="W29" s="81">
        <f t="shared" si="9"/>
        <v>0</v>
      </c>
      <c r="X29" s="81">
        <f t="shared" si="29"/>
        <v>0</v>
      </c>
      <c r="Y29" s="81">
        <f t="shared" si="10"/>
        <v>0</v>
      </c>
      <c r="Z29" s="81">
        <f t="shared" si="11"/>
        <v>0</v>
      </c>
      <c r="AA29" s="81">
        <f t="shared" si="12"/>
        <v>0</v>
      </c>
      <c r="AB29" s="81">
        <f>IF(AND(((AC28-$H$2+Z29+X29+V29+T29-AC$9-AA$9-Y$9-W$9-U$9-S$9-Q$9-O$9-M$9-K$9-I$9-G$9-E$9-C$9)&lt;=0),AA29+Y29+W29+U29=0),AC28, IF(AND((AC28-AC$9-$H$2)&lt;=0, AA29=0),AC28,IF(AC$9&gt;=AC28, AC28, IF(AND(AA29=0,Y29=0,W29=0,U29=0), $H$2-Z29-X29-V29-T29+AC$9+AA$9+Y$9+W$9+U$9+S$9+Q$9+O$9+M$9+K$9+I$9+G$9+E$9+C$9,AC$9))))</f>
        <v>0</v>
      </c>
      <c r="AC29" s="81">
        <f t="shared" si="14"/>
        <v>0</v>
      </c>
      <c r="AD29" s="81">
        <f t="shared" si="30"/>
        <v>0</v>
      </c>
      <c r="AE29" s="81">
        <f t="shared" si="15"/>
        <v>0</v>
      </c>
      <c r="AF29" s="81">
        <f t="shared" si="31"/>
        <v>0</v>
      </c>
      <c r="AG29" s="81">
        <f t="shared" si="16"/>
        <v>0</v>
      </c>
    </row>
    <row r="30" spans="1:33" ht="15.5" x14ac:dyDescent="0.35">
      <c r="A30" s="57">
        <v>18</v>
      </c>
      <c r="B30" s="80">
        <f t="shared" si="17"/>
        <v>0</v>
      </c>
      <c r="C30" s="81">
        <f t="shared" si="18"/>
        <v>0</v>
      </c>
      <c r="D30" s="81">
        <f t="shared" si="19"/>
        <v>54418.080000000002</v>
      </c>
      <c r="E30" s="81">
        <f t="shared" si="0"/>
        <v>595794.43845809309</v>
      </c>
      <c r="F30" s="81">
        <f t="shared" si="20"/>
        <v>30421.52</v>
      </c>
      <c r="G30" s="81">
        <f t="shared" si="1"/>
        <v>522346.79479344556</v>
      </c>
      <c r="H30" s="81">
        <f t="shared" si="21"/>
        <v>0</v>
      </c>
      <c r="I30" s="81">
        <f t="shared" si="2"/>
        <v>0</v>
      </c>
      <c r="J30" s="81">
        <f t="shared" si="22"/>
        <v>0</v>
      </c>
      <c r="K30" s="81">
        <f t="shared" si="3"/>
        <v>0</v>
      </c>
      <c r="L30" s="81">
        <f t="shared" si="23"/>
        <v>0</v>
      </c>
      <c r="M30" s="81">
        <f t="shared" si="4"/>
        <v>0</v>
      </c>
      <c r="N30" s="81">
        <f t="shared" si="24"/>
        <v>0</v>
      </c>
      <c r="O30" s="81">
        <f t="shared" si="5"/>
        <v>0</v>
      </c>
      <c r="P30" s="81">
        <f t="shared" si="25"/>
        <v>0</v>
      </c>
      <c r="Q30" s="81">
        <f t="shared" si="6"/>
        <v>0</v>
      </c>
      <c r="R30" s="81">
        <f t="shared" si="26"/>
        <v>0</v>
      </c>
      <c r="S30" s="81">
        <f t="shared" si="7"/>
        <v>0</v>
      </c>
      <c r="T30" s="81">
        <f t="shared" si="27"/>
        <v>0</v>
      </c>
      <c r="U30" s="81">
        <f t="shared" si="8"/>
        <v>0</v>
      </c>
      <c r="V30" s="81">
        <f t="shared" si="28"/>
        <v>0</v>
      </c>
      <c r="W30" s="81">
        <f t="shared" si="9"/>
        <v>0</v>
      </c>
      <c r="X30" s="81">
        <f t="shared" si="29"/>
        <v>0</v>
      </c>
      <c r="Y30" s="81">
        <f t="shared" si="10"/>
        <v>0</v>
      </c>
      <c r="Z30" s="81">
        <f t="shared" si="11"/>
        <v>0</v>
      </c>
      <c r="AA30" s="81">
        <f t="shared" si="12"/>
        <v>0</v>
      </c>
      <c r="AB30" s="81">
        <f t="shared" ref="AB30:AB93" si="32">IF(AND(((AC29-$H$2+Z30+X30+V30+T30-AC$9-AA$9-Y$9-W$9-U$9-S$9-Q$9-O$9-M$9-K$9-I$9-G$9-E$9-C$9)&lt;=0),AA30+Y30+W30+U30=0),AC29, IF(AND((AC29-AC$9-$H$2)&lt;=0, AA30=0),AC29,IF(AC$9&gt;=AC29, AC29, IF(AND(AA30=0,Y30=0,W30=0,U30=0), $H$2-Z30-X30-V30-T30+AC$9+AA$9+Y$9+W$9+U$9+S$9+Q$9+O$9+M$9+K$9+I$9+G$9+E$9+C$9,AC$9))))</f>
        <v>0</v>
      </c>
      <c r="AC30" s="81">
        <f t="shared" si="14"/>
        <v>0</v>
      </c>
      <c r="AD30" s="81">
        <f t="shared" si="30"/>
        <v>0</v>
      </c>
      <c r="AE30" s="81">
        <f t="shared" si="15"/>
        <v>0</v>
      </c>
      <c r="AF30" s="81">
        <f t="shared" si="31"/>
        <v>0</v>
      </c>
      <c r="AG30" s="81">
        <f t="shared" si="16"/>
        <v>0</v>
      </c>
    </row>
    <row r="31" spans="1:33" ht="15.5" x14ac:dyDescent="0.35">
      <c r="A31" s="57">
        <v>19</v>
      </c>
      <c r="B31" s="80">
        <f t="shared" si="17"/>
        <v>0</v>
      </c>
      <c r="C31" s="81">
        <f t="shared" si="18"/>
        <v>0</v>
      </c>
      <c r="D31" s="81">
        <f t="shared" si="19"/>
        <v>54418.080000000002</v>
      </c>
      <c r="E31" s="81">
        <f t="shared" si="0"/>
        <v>549677.46262111724</v>
      </c>
      <c r="F31" s="81">
        <f t="shared" si="20"/>
        <v>30421.52</v>
      </c>
      <c r="G31" s="81">
        <f t="shared" si="1"/>
        <v>493974.96343841823</v>
      </c>
      <c r="H31" s="81">
        <f t="shared" si="21"/>
        <v>0</v>
      </c>
      <c r="I31" s="81">
        <f t="shared" si="2"/>
        <v>0</v>
      </c>
      <c r="J31" s="81">
        <f t="shared" si="22"/>
        <v>0</v>
      </c>
      <c r="K31" s="81">
        <f t="shared" si="3"/>
        <v>0</v>
      </c>
      <c r="L31" s="81">
        <f t="shared" si="23"/>
        <v>0</v>
      </c>
      <c r="M31" s="81">
        <f t="shared" si="4"/>
        <v>0</v>
      </c>
      <c r="N31" s="81">
        <f t="shared" si="24"/>
        <v>0</v>
      </c>
      <c r="O31" s="81">
        <f t="shared" si="5"/>
        <v>0</v>
      </c>
      <c r="P31" s="81">
        <f t="shared" si="25"/>
        <v>0</v>
      </c>
      <c r="Q31" s="81">
        <f t="shared" si="6"/>
        <v>0</v>
      </c>
      <c r="R31" s="81">
        <f t="shared" si="26"/>
        <v>0</v>
      </c>
      <c r="S31" s="81">
        <f t="shared" si="7"/>
        <v>0</v>
      </c>
      <c r="T31" s="81">
        <f t="shared" si="27"/>
        <v>0</v>
      </c>
      <c r="U31" s="81">
        <f t="shared" si="8"/>
        <v>0</v>
      </c>
      <c r="V31" s="81">
        <f t="shared" si="28"/>
        <v>0</v>
      </c>
      <c r="W31" s="81">
        <f t="shared" si="9"/>
        <v>0</v>
      </c>
      <c r="X31" s="81">
        <f t="shared" si="29"/>
        <v>0</v>
      </c>
      <c r="Y31" s="81">
        <f t="shared" si="10"/>
        <v>0</v>
      </c>
      <c r="Z31" s="81">
        <f t="shared" si="11"/>
        <v>0</v>
      </c>
      <c r="AA31" s="81">
        <f t="shared" si="12"/>
        <v>0</v>
      </c>
      <c r="AB31" s="81">
        <f t="shared" si="32"/>
        <v>0</v>
      </c>
      <c r="AC31" s="81">
        <f t="shared" si="14"/>
        <v>0</v>
      </c>
      <c r="AD31" s="81">
        <f t="shared" si="30"/>
        <v>0</v>
      </c>
      <c r="AE31" s="81">
        <f t="shared" si="15"/>
        <v>0</v>
      </c>
      <c r="AF31" s="81">
        <f t="shared" si="31"/>
        <v>0</v>
      </c>
      <c r="AG31" s="81">
        <f t="shared" si="16"/>
        <v>0</v>
      </c>
    </row>
    <row r="32" spans="1:33" ht="15.5" x14ac:dyDescent="0.35">
      <c r="A32" s="57">
        <v>20</v>
      </c>
      <c r="B32" s="80">
        <f t="shared" si="17"/>
        <v>0</v>
      </c>
      <c r="C32" s="81">
        <f t="shared" si="18"/>
        <v>0</v>
      </c>
      <c r="D32" s="81">
        <f t="shared" si="19"/>
        <v>54418.080000000002</v>
      </c>
      <c r="E32" s="81">
        <f t="shared" si="0"/>
        <v>502853.35982130771</v>
      </c>
      <c r="F32" s="81">
        <f t="shared" si="20"/>
        <v>30421.52</v>
      </c>
      <c r="G32" s="81">
        <f t="shared" si="1"/>
        <v>465484.91611941159</v>
      </c>
      <c r="H32" s="81">
        <f t="shared" si="21"/>
        <v>0</v>
      </c>
      <c r="I32" s="81">
        <f t="shared" si="2"/>
        <v>0</v>
      </c>
      <c r="J32" s="81">
        <f t="shared" si="22"/>
        <v>0</v>
      </c>
      <c r="K32" s="81">
        <f t="shared" si="3"/>
        <v>0</v>
      </c>
      <c r="L32" s="81">
        <f t="shared" si="23"/>
        <v>0</v>
      </c>
      <c r="M32" s="81">
        <f t="shared" si="4"/>
        <v>0</v>
      </c>
      <c r="N32" s="81">
        <f t="shared" si="24"/>
        <v>0</v>
      </c>
      <c r="O32" s="81">
        <f t="shared" si="5"/>
        <v>0</v>
      </c>
      <c r="P32" s="81">
        <f t="shared" si="25"/>
        <v>0</v>
      </c>
      <c r="Q32" s="81">
        <f t="shared" si="6"/>
        <v>0</v>
      </c>
      <c r="R32" s="81">
        <f t="shared" si="26"/>
        <v>0</v>
      </c>
      <c r="S32" s="81">
        <f t="shared" si="7"/>
        <v>0</v>
      </c>
      <c r="T32" s="81">
        <f t="shared" si="27"/>
        <v>0</v>
      </c>
      <c r="U32" s="81">
        <f t="shared" si="8"/>
        <v>0</v>
      </c>
      <c r="V32" s="81">
        <f t="shared" si="28"/>
        <v>0</v>
      </c>
      <c r="W32" s="81">
        <f t="shared" si="9"/>
        <v>0</v>
      </c>
      <c r="X32" s="81">
        <f t="shared" si="29"/>
        <v>0</v>
      </c>
      <c r="Y32" s="81">
        <f t="shared" si="10"/>
        <v>0</v>
      </c>
      <c r="Z32" s="81">
        <f t="shared" si="11"/>
        <v>0</v>
      </c>
      <c r="AA32" s="81">
        <f t="shared" si="12"/>
        <v>0</v>
      </c>
      <c r="AB32" s="81">
        <f t="shared" si="32"/>
        <v>0</v>
      </c>
      <c r="AC32" s="81">
        <f t="shared" si="14"/>
        <v>0</v>
      </c>
      <c r="AD32" s="81">
        <f t="shared" si="30"/>
        <v>0</v>
      </c>
      <c r="AE32" s="81">
        <f t="shared" si="15"/>
        <v>0</v>
      </c>
      <c r="AF32" s="81">
        <f t="shared" si="31"/>
        <v>0</v>
      </c>
      <c r="AG32" s="81">
        <f t="shared" si="16"/>
        <v>0</v>
      </c>
    </row>
    <row r="33" spans="1:33" ht="15.5" x14ac:dyDescent="0.35">
      <c r="A33" s="57">
        <v>21</v>
      </c>
      <c r="B33" s="80">
        <f t="shared" si="17"/>
        <v>0</v>
      </c>
      <c r="C33" s="81">
        <f t="shared" si="18"/>
        <v>0</v>
      </c>
      <c r="D33" s="81">
        <f t="shared" si="19"/>
        <v>54418.080000000002</v>
      </c>
      <c r="E33" s="81">
        <f t="shared" si="0"/>
        <v>455311.28744523443</v>
      </c>
      <c r="F33" s="81">
        <f t="shared" si="20"/>
        <v>30421.52</v>
      </c>
      <c r="G33" s="81">
        <f t="shared" si="1"/>
        <v>436876.16026990913</v>
      </c>
      <c r="H33" s="81">
        <f t="shared" si="21"/>
        <v>0</v>
      </c>
      <c r="I33" s="81">
        <f t="shared" si="2"/>
        <v>0</v>
      </c>
      <c r="J33" s="81">
        <f t="shared" si="22"/>
        <v>0</v>
      </c>
      <c r="K33" s="81">
        <f t="shared" si="3"/>
        <v>0</v>
      </c>
      <c r="L33" s="81">
        <f t="shared" si="23"/>
        <v>0</v>
      </c>
      <c r="M33" s="81">
        <f t="shared" si="4"/>
        <v>0</v>
      </c>
      <c r="N33" s="81">
        <f t="shared" si="24"/>
        <v>0</v>
      </c>
      <c r="O33" s="81">
        <f t="shared" si="5"/>
        <v>0</v>
      </c>
      <c r="P33" s="81">
        <f t="shared" si="25"/>
        <v>0</v>
      </c>
      <c r="Q33" s="81">
        <f t="shared" si="6"/>
        <v>0</v>
      </c>
      <c r="R33" s="81">
        <f t="shared" si="26"/>
        <v>0</v>
      </c>
      <c r="S33" s="81">
        <f t="shared" si="7"/>
        <v>0</v>
      </c>
      <c r="T33" s="81">
        <f t="shared" si="27"/>
        <v>0</v>
      </c>
      <c r="U33" s="81">
        <f t="shared" si="8"/>
        <v>0</v>
      </c>
      <c r="V33" s="81">
        <f t="shared" si="28"/>
        <v>0</v>
      </c>
      <c r="W33" s="81">
        <f t="shared" si="9"/>
        <v>0</v>
      </c>
      <c r="X33" s="81">
        <f t="shared" si="29"/>
        <v>0</v>
      </c>
      <c r="Y33" s="81">
        <f t="shared" si="10"/>
        <v>0</v>
      </c>
      <c r="Z33" s="81">
        <f t="shared" si="11"/>
        <v>0</v>
      </c>
      <c r="AA33" s="81">
        <f t="shared" si="12"/>
        <v>0</v>
      </c>
      <c r="AB33" s="81">
        <f t="shared" si="32"/>
        <v>0</v>
      </c>
      <c r="AC33" s="81">
        <f t="shared" si="14"/>
        <v>0</v>
      </c>
      <c r="AD33" s="81">
        <f t="shared" si="30"/>
        <v>0</v>
      </c>
      <c r="AE33" s="81">
        <f t="shared" si="15"/>
        <v>0</v>
      </c>
      <c r="AF33" s="81">
        <f t="shared" si="31"/>
        <v>0</v>
      </c>
      <c r="AG33" s="81">
        <f t="shared" si="16"/>
        <v>0</v>
      </c>
    </row>
    <row r="34" spans="1:33" ht="15.5" x14ac:dyDescent="0.35">
      <c r="A34" s="57">
        <v>22</v>
      </c>
      <c r="B34" s="80">
        <f t="shared" si="17"/>
        <v>0</v>
      </c>
      <c r="C34" s="81">
        <f t="shared" si="18"/>
        <v>0</v>
      </c>
      <c r="D34" s="81">
        <f t="shared" si="19"/>
        <v>54418.080000000002</v>
      </c>
      <c r="E34" s="81">
        <f t="shared" si="0"/>
        <v>407040.23662606138</v>
      </c>
      <c r="F34" s="81">
        <f t="shared" si="20"/>
        <v>30421.52</v>
      </c>
      <c r="G34" s="81">
        <f t="shared" si="1"/>
        <v>408148.20127103373</v>
      </c>
      <c r="H34" s="81">
        <f t="shared" si="21"/>
        <v>0</v>
      </c>
      <c r="I34" s="81">
        <f t="shared" si="2"/>
        <v>0</v>
      </c>
      <c r="J34" s="81">
        <f t="shared" si="22"/>
        <v>0</v>
      </c>
      <c r="K34" s="81">
        <f t="shared" si="3"/>
        <v>0</v>
      </c>
      <c r="L34" s="81">
        <f t="shared" si="23"/>
        <v>0</v>
      </c>
      <c r="M34" s="81">
        <f t="shared" si="4"/>
        <v>0</v>
      </c>
      <c r="N34" s="81">
        <f t="shared" si="24"/>
        <v>0</v>
      </c>
      <c r="O34" s="81">
        <f t="shared" si="5"/>
        <v>0</v>
      </c>
      <c r="P34" s="81">
        <f t="shared" si="25"/>
        <v>0</v>
      </c>
      <c r="Q34" s="81">
        <f t="shared" si="6"/>
        <v>0</v>
      </c>
      <c r="R34" s="81">
        <f t="shared" si="26"/>
        <v>0</v>
      </c>
      <c r="S34" s="81">
        <f t="shared" si="7"/>
        <v>0</v>
      </c>
      <c r="T34" s="81">
        <f t="shared" si="27"/>
        <v>0</v>
      </c>
      <c r="U34" s="81">
        <f t="shared" si="8"/>
        <v>0</v>
      </c>
      <c r="V34" s="81">
        <f t="shared" si="28"/>
        <v>0</v>
      </c>
      <c r="W34" s="81">
        <f t="shared" si="9"/>
        <v>0</v>
      </c>
      <c r="X34" s="81">
        <f t="shared" si="29"/>
        <v>0</v>
      </c>
      <c r="Y34" s="81">
        <f t="shared" si="10"/>
        <v>0</v>
      </c>
      <c r="Z34" s="81">
        <f t="shared" si="11"/>
        <v>0</v>
      </c>
      <c r="AA34" s="81">
        <f t="shared" si="12"/>
        <v>0</v>
      </c>
      <c r="AB34" s="81">
        <f t="shared" si="32"/>
        <v>0</v>
      </c>
      <c r="AC34" s="81">
        <f t="shared" si="14"/>
        <v>0</v>
      </c>
      <c r="AD34" s="81">
        <f t="shared" si="30"/>
        <v>0</v>
      </c>
      <c r="AE34" s="81">
        <f t="shared" si="15"/>
        <v>0</v>
      </c>
      <c r="AF34" s="81">
        <f t="shared" si="31"/>
        <v>0</v>
      </c>
      <c r="AG34" s="81">
        <f t="shared" si="16"/>
        <v>0</v>
      </c>
    </row>
    <row r="35" spans="1:33" ht="15.5" x14ac:dyDescent="0.35">
      <c r="A35" s="57">
        <v>23</v>
      </c>
      <c r="B35" s="80">
        <f t="shared" si="17"/>
        <v>0</v>
      </c>
      <c r="C35" s="81">
        <f t="shared" si="18"/>
        <v>0</v>
      </c>
      <c r="D35" s="81">
        <f t="shared" si="19"/>
        <v>54418.080000000002</v>
      </c>
      <c r="E35" s="81">
        <f t="shared" si="0"/>
        <v>358029.02969432768</v>
      </c>
      <c r="F35" s="81">
        <f t="shared" si="20"/>
        <v>30421.52</v>
      </c>
      <c r="G35" s="81">
        <f t="shared" si="1"/>
        <v>379300.54244299635</v>
      </c>
      <c r="H35" s="81">
        <f t="shared" si="21"/>
        <v>0</v>
      </c>
      <c r="I35" s="81">
        <f t="shared" si="2"/>
        <v>0</v>
      </c>
      <c r="J35" s="81">
        <f t="shared" si="22"/>
        <v>0</v>
      </c>
      <c r="K35" s="81">
        <f t="shared" si="3"/>
        <v>0</v>
      </c>
      <c r="L35" s="81">
        <f t="shared" si="23"/>
        <v>0</v>
      </c>
      <c r="M35" s="81">
        <f t="shared" si="4"/>
        <v>0</v>
      </c>
      <c r="N35" s="81">
        <f t="shared" si="24"/>
        <v>0</v>
      </c>
      <c r="O35" s="81">
        <f t="shared" si="5"/>
        <v>0</v>
      </c>
      <c r="P35" s="81">
        <f t="shared" si="25"/>
        <v>0</v>
      </c>
      <c r="Q35" s="81">
        <f t="shared" si="6"/>
        <v>0</v>
      </c>
      <c r="R35" s="81">
        <f t="shared" si="26"/>
        <v>0</v>
      </c>
      <c r="S35" s="81">
        <f t="shared" si="7"/>
        <v>0</v>
      </c>
      <c r="T35" s="81">
        <f t="shared" si="27"/>
        <v>0</v>
      </c>
      <c r="U35" s="81">
        <f t="shared" si="8"/>
        <v>0</v>
      </c>
      <c r="V35" s="81">
        <f t="shared" si="28"/>
        <v>0</v>
      </c>
      <c r="W35" s="81">
        <f t="shared" si="9"/>
        <v>0</v>
      </c>
      <c r="X35" s="81">
        <f t="shared" si="29"/>
        <v>0</v>
      </c>
      <c r="Y35" s="81">
        <f t="shared" si="10"/>
        <v>0</v>
      </c>
      <c r="Z35" s="81">
        <f>IF(AND(((AA34-$H$2+X35+V35+T35+R35-AA$9-Y$9-W$9-U$9-S$9-Q$9-O$9-M$9-K$9-I$9-G$9-E$9-C$9)&lt;=0),Y35+W35+U35+S35=0),AA34, IF(AND((AA34-AA$9-$H$2)&lt;=0, Y35=0),AA34,IF(AA$9&gt;=AA34, AA34, IF(AND(Y35=0,W35=0,U35=0,S35=0), $H$2-X35-V35-T35-R35+AA$9+Y$9+W$9+U$9+S$9+Q$9+O$9+M$9+K$9+I$9+G$9+E$9+C$9,AA$9))))</f>
        <v>0</v>
      </c>
      <c r="AA35" s="81">
        <f t="shared" si="12"/>
        <v>0</v>
      </c>
      <c r="AB35" s="81">
        <f t="shared" si="32"/>
        <v>0</v>
      </c>
      <c r="AC35" s="81">
        <f t="shared" si="14"/>
        <v>0</v>
      </c>
      <c r="AD35" s="81">
        <f t="shared" si="30"/>
        <v>0</v>
      </c>
      <c r="AE35" s="81">
        <f t="shared" si="15"/>
        <v>0</v>
      </c>
      <c r="AF35" s="81">
        <f t="shared" si="31"/>
        <v>0</v>
      </c>
      <c r="AG35" s="81">
        <f t="shared" si="16"/>
        <v>0</v>
      </c>
    </row>
    <row r="36" spans="1:33" ht="15.5" x14ac:dyDescent="0.35">
      <c r="A36" s="57">
        <v>24</v>
      </c>
      <c r="B36" s="80">
        <f t="shared" si="17"/>
        <v>0</v>
      </c>
      <c r="C36" s="81">
        <f t="shared" si="18"/>
        <v>0</v>
      </c>
      <c r="D36" s="81">
        <f t="shared" si="19"/>
        <v>54418.080000000002</v>
      </c>
      <c r="E36" s="81">
        <f t="shared" si="0"/>
        <v>308266.31758964073</v>
      </c>
      <c r="F36" s="81">
        <f t="shared" si="20"/>
        <v>30421.52</v>
      </c>
      <c r="G36" s="81">
        <f t="shared" si="1"/>
        <v>350332.68503650883</v>
      </c>
      <c r="H36" s="81">
        <f t="shared" si="21"/>
        <v>0</v>
      </c>
      <c r="I36" s="81">
        <f t="shared" si="2"/>
        <v>0</v>
      </c>
      <c r="J36" s="81">
        <f t="shared" si="22"/>
        <v>0</v>
      </c>
      <c r="K36" s="81">
        <f t="shared" si="3"/>
        <v>0</v>
      </c>
      <c r="L36" s="81">
        <f t="shared" si="23"/>
        <v>0</v>
      </c>
      <c r="M36" s="81">
        <f t="shared" si="4"/>
        <v>0</v>
      </c>
      <c r="N36" s="81">
        <f t="shared" si="24"/>
        <v>0</v>
      </c>
      <c r="O36" s="81">
        <f t="shared" si="5"/>
        <v>0</v>
      </c>
      <c r="P36" s="81">
        <f t="shared" si="25"/>
        <v>0</v>
      </c>
      <c r="Q36" s="81">
        <f t="shared" si="6"/>
        <v>0</v>
      </c>
      <c r="R36" s="81">
        <f t="shared" si="26"/>
        <v>0</v>
      </c>
      <c r="S36" s="81">
        <f t="shared" si="7"/>
        <v>0</v>
      </c>
      <c r="T36" s="81">
        <f t="shared" si="27"/>
        <v>0</v>
      </c>
      <c r="U36" s="81">
        <f t="shared" si="8"/>
        <v>0</v>
      </c>
      <c r="V36" s="81">
        <f t="shared" si="28"/>
        <v>0</v>
      </c>
      <c r="W36" s="81">
        <f t="shared" si="9"/>
        <v>0</v>
      </c>
      <c r="X36" s="81">
        <f t="shared" si="29"/>
        <v>0</v>
      </c>
      <c r="Y36" s="81">
        <f t="shared" si="10"/>
        <v>0</v>
      </c>
      <c r="Z36" s="81">
        <f>IF(AND(((AA35-$H$2+X36+V36+T36+R36-AA$9-Y$9-W$9-U$9-S$9-Q$9-O$9-M$9-K$9-I$9-G$9-E$9-C$9)&lt;=0),Y36+W36+U36+S36=0),AA35, IF(AND((AA35-AA$9-$H$2)&lt;=0, Y36=0),AA35,IF(AA$9&gt;=AA35, AA35, IF(AND(Y36=0,W36=0,U36=0,S36=0), $H$2-X36-V36-T36-R36+AA$9+Y$9+W$9+U$9+S$9+Q$9+O$9+M$9+K$9+I$9+G$9+E$9+C$9,AA$9))))</f>
        <v>0</v>
      </c>
      <c r="AA36" s="81">
        <f t="shared" si="12"/>
        <v>0</v>
      </c>
      <c r="AB36" s="81">
        <f t="shared" si="32"/>
        <v>0</v>
      </c>
      <c r="AC36" s="81">
        <f t="shared" si="14"/>
        <v>0</v>
      </c>
      <c r="AD36" s="81">
        <f t="shared" si="30"/>
        <v>0</v>
      </c>
      <c r="AE36" s="81">
        <f t="shared" si="15"/>
        <v>0</v>
      </c>
      <c r="AF36" s="81">
        <f t="shared" si="31"/>
        <v>0</v>
      </c>
      <c r="AG36" s="81">
        <f t="shared" si="16"/>
        <v>0</v>
      </c>
    </row>
    <row r="37" spans="1:33" ht="15.5" x14ac:dyDescent="0.35">
      <c r="A37" s="57">
        <v>25</v>
      </c>
      <c r="B37" s="80">
        <f t="shared" si="17"/>
        <v>0</v>
      </c>
      <c r="C37" s="81">
        <f t="shared" si="18"/>
        <v>0</v>
      </c>
      <c r="D37" s="81">
        <f t="shared" si="19"/>
        <v>54418.080000000002</v>
      </c>
      <c r="E37" s="81">
        <f t="shared" si="0"/>
        <v>257740.57723268188</v>
      </c>
      <c r="F37" s="81">
        <f t="shared" si="20"/>
        <v>30421.52</v>
      </c>
      <c r="G37" s="81">
        <f t="shared" si="1"/>
        <v>321244.12822416093</v>
      </c>
      <c r="H37" s="81">
        <f t="shared" si="21"/>
        <v>0</v>
      </c>
      <c r="I37" s="81">
        <f t="shared" si="2"/>
        <v>0</v>
      </c>
      <c r="J37" s="81">
        <f t="shared" si="22"/>
        <v>0</v>
      </c>
      <c r="K37" s="81">
        <f t="shared" si="3"/>
        <v>0</v>
      </c>
      <c r="L37" s="81">
        <f t="shared" si="23"/>
        <v>0</v>
      </c>
      <c r="M37" s="81">
        <f t="shared" si="4"/>
        <v>0</v>
      </c>
      <c r="N37" s="81">
        <f t="shared" si="24"/>
        <v>0</v>
      </c>
      <c r="O37" s="81">
        <f t="shared" si="5"/>
        <v>0</v>
      </c>
      <c r="P37" s="81">
        <f t="shared" si="25"/>
        <v>0</v>
      </c>
      <c r="Q37" s="81">
        <f t="shared" si="6"/>
        <v>0</v>
      </c>
      <c r="R37" s="81">
        <f t="shared" si="26"/>
        <v>0</v>
      </c>
      <c r="S37" s="81">
        <f t="shared" si="7"/>
        <v>0</v>
      </c>
      <c r="T37" s="81">
        <f t="shared" si="27"/>
        <v>0</v>
      </c>
      <c r="U37" s="81">
        <f t="shared" si="8"/>
        <v>0</v>
      </c>
      <c r="V37" s="81">
        <f t="shared" si="28"/>
        <v>0</v>
      </c>
      <c r="W37" s="81">
        <f t="shared" si="9"/>
        <v>0</v>
      </c>
      <c r="X37" s="81">
        <f t="shared" si="29"/>
        <v>0</v>
      </c>
      <c r="Y37" s="81">
        <f t="shared" si="10"/>
        <v>0</v>
      </c>
      <c r="Z37" s="81">
        <f t="shared" ref="Z37:Z100" si="33">IF(AND(((AA36-$H$2+X37+V37+T37+R37-AA$9-Y$9-W$9-U$9-S$9-Q$9-O$9-M$9-K$9-I$9-G$9-E$9-C$9)&lt;=0),Y37+W37+U37+S37=0),AA36, IF(AND((AA36-AA$9-$H$2)&lt;=0, Y37=0),AA36,IF(AA$9&gt;=AA36, AA36, IF(AND(Y37=0,W37=0,U37=0,S37=0), $H$2-X37-V37-T37-R37+AA$9+Y$9+W$9+U$9+S$9+Q$9+O$9+M$9+K$9+I$9+G$9+E$9+C$9,AA$9))))</f>
        <v>0</v>
      </c>
      <c r="AA37" s="81">
        <f t="shared" si="12"/>
        <v>0</v>
      </c>
      <c r="AB37" s="81">
        <f>IF(AND(((AC36-$H$2+Z37+X37+V37+T37-AC$9-AA$9-Y$9-W$9-U$9-S$9-Q$9-O$9-M$9-K$9-I$9-G$9-E$9-C$9)&lt;=0),AA37+Y37+W37+U37=0),AC36, IF(AND((AC36-AC$9-$H$2)&lt;=0, AA37=0),AC36,IF(AC$9&gt;=AC36, AC36, IF(AND(AA37=0,Y37=0,W37=0,U37=0), $H$2-Z37-X37-V37-T37+AC$9+AA$9+Y$9+W$9+U$9+S$9+Q$9+O$9+M$9+K$9+I$9+G$9+E$9+C$9,AC$9))))</f>
        <v>0</v>
      </c>
      <c r="AC37" s="81">
        <f t="shared" si="14"/>
        <v>0</v>
      </c>
      <c r="AD37" s="81">
        <f t="shared" si="30"/>
        <v>0</v>
      </c>
      <c r="AE37" s="81">
        <f t="shared" si="15"/>
        <v>0</v>
      </c>
      <c r="AF37" s="81">
        <f t="shared" si="31"/>
        <v>0</v>
      </c>
      <c r="AG37" s="81">
        <f t="shared" si="16"/>
        <v>0</v>
      </c>
    </row>
    <row r="38" spans="1:33" ht="15.5" x14ac:dyDescent="0.35">
      <c r="A38" s="57">
        <v>26</v>
      </c>
      <c r="B38" s="80">
        <f t="shared" si="17"/>
        <v>0</v>
      </c>
      <c r="C38" s="81">
        <f t="shared" si="18"/>
        <v>0</v>
      </c>
      <c r="D38" s="81">
        <f t="shared" si="19"/>
        <v>54418.080000000002</v>
      </c>
      <c r="E38" s="81">
        <f t="shared" si="0"/>
        <v>206440.10885691637</v>
      </c>
      <c r="F38" s="81">
        <f t="shared" si="20"/>
        <v>30421.52</v>
      </c>
      <c r="G38" s="81">
        <f t="shared" si="1"/>
        <v>292034.36909176159</v>
      </c>
      <c r="H38" s="81">
        <f t="shared" si="21"/>
        <v>0</v>
      </c>
      <c r="I38" s="81">
        <f t="shared" si="2"/>
        <v>0</v>
      </c>
      <c r="J38" s="81">
        <f t="shared" si="22"/>
        <v>0</v>
      </c>
      <c r="K38" s="81">
        <f t="shared" si="3"/>
        <v>0</v>
      </c>
      <c r="L38" s="81">
        <f t="shared" si="23"/>
        <v>0</v>
      </c>
      <c r="M38" s="81">
        <f t="shared" si="4"/>
        <v>0</v>
      </c>
      <c r="N38" s="81">
        <f t="shared" si="24"/>
        <v>0</v>
      </c>
      <c r="O38" s="81">
        <f t="shared" si="5"/>
        <v>0</v>
      </c>
      <c r="P38" s="81">
        <f t="shared" si="25"/>
        <v>0</v>
      </c>
      <c r="Q38" s="81">
        <f t="shared" si="6"/>
        <v>0</v>
      </c>
      <c r="R38" s="81">
        <f t="shared" si="26"/>
        <v>0</v>
      </c>
      <c r="S38" s="81">
        <f t="shared" si="7"/>
        <v>0</v>
      </c>
      <c r="T38" s="81">
        <f t="shared" si="27"/>
        <v>0</v>
      </c>
      <c r="U38" s="81">
        <f t="shared" si="8"/>
        <v>0</v>
      </c>
      <c r="V38" s="81">
        <f t="shared" si="28"/>
        <v>0</v>
      </c>
      <c r="W38" s="81">
        <f t="shared" si="9"/>
        <v>0</v>
      </c>
      <c r="X38" s="81">
        <f t="shared" si="29"/>
        <v>0</v>
      </c>
      <c r="Y38" s="81">
        <f t="shared" si="10"/>
        <v>0</v>
      </c>
      <c r="Z38" s="81">
        <f t="shared" si="33"/>
        <v>0</v>
      </c>
      <c r="AA38" s="81">
        <f t="shared" si="12"/>
        <v>0</v>
      </c>
      <c r="AB38" s="81">
        <f t="shared" si="32"/>
        <v>0</v>
      </c>
      <c r="AC38" s="81">
        <f t="shared" si="14"/>
        <v>0</v>
      </c>
      <c r="AD38" s="81">
        <f t="shared" si="30"/>
        <v>0</v>
      </c>
      <c r="AE38" s="81">
        <f t="shared" si="15"/>
        <v>0</v>
      </c>
      <c r="AF38" s="81">
        <f t="shared" si="31"/>
        <v>0</v>
      </c>
      <c r="AG38" s="81">
        <f t="shared" si="16"/>
        <v>0</v>
      </c>
    </row>
    <row r="39" spans="1:33" ht="15.5" x14ac:dyDescent="0.35">
      <c r="A39" s="57">
        <v>27</v>
      </c>
      <c r="B39" s="80">
        <f t="shared" si="17"/>
        <v>0</v>
      </c>
      <c r="C39" s="81">
        <f t="shared" si="18"/>
        <v>0</v>
      </c>
      <c r="D39" s="81">
        <f t="shared" si="19"/>
        <v>54418.080000000002</v>
      </c>
      <c r="E39" s="81">
        <f t="shared" si="0"/>
        <v>154353.03329938909</v>
      </c>
      <c r="F39" s="81">
        <f t="shared" si="20"/>
        <v>30421.52</v>
      </c>
      <c r="G39" s="81">
        <f t="shared" si="1"/>
        <v>262702.90262964391</v>
      </c>
      <c r="H39" s="81">
        <f t="shared" si="21"/>
        <v>0</v>
      </c>
      <c r="I39" s="81">
        <f t="shared" si="2"/>
        <v>0</v>
      </c>
      <c r="J39" s="81">
        <f t="shared" si="22"/>
        <v>0</v>
      </c>
      <c r="K39" s="81">
        <f t="shared" si="3"/>
        <v>0</v>
      </c>
      <c r="L39" s="81">
        <f t="shared" si="23"/>
        <v>0</v>
      </c>
      <c r="M39" s="81">
        <f t="shared" si="4"/>
        <v>0</v>
      </c>
      <c r="N39" s="81">
        <f t="shared" si="24"/>
        <v>0</v>
      </c>
      <c r="O39" s="81">
        <f t="shared" si="5"/>
        <v>0</v>
      </c>
      <c r="P39" s="81">
        <f t="shared" si="25"/>
        <v>0</v>
      </c>
      <c r="Q39" s="81">
        <f t="shared" si="6"/>
        <v>0</v>
      </c>
      <c r="R39" s="81">
        <f t="shared" si="26"/>
        <v>0</v>
      </c>
      <c r="S39" s="81">
        <f t="shared" si="7"/>
        <v>0</v>
      </c>
      <c r="T39" s="81">
        <f t="shared" si="27"/>
        <v>0</v>
      </c>
      <c r="U39" s="81">
        <f t="shared" si="8"/>
        <v>0</v>
      </c>
      <c r="V39" s="81">
        <f t="shared" si="28"/>
        <v>0</v>
      </c>
      <c r="W39" s="81">
        <f t="shared" si="9"/>
        <v>0</v>
      </c>
      <c r="X39" s="81">
        <f t="shared" si="29"/>
        <v>0</v>
      </c>
      <c r="Y39" s="81">
        <f t="shared" si="10"/>
        <v>0</v>
      </c>
      <c r="Z39" s="81">
        <f t="shared" si="33"/>
        <v>0</v>
      </c>
      <c r="AA39" s="81">
        <f t="shared" si="12"/>
        <v>0</v>
      </c>
      <c r="AB39" s="81">
        <f t="shared" si="32"/>
        <v>0</v>
      </c>
      <c r="AC39" s="81">
        <f t="shared" si="14"/>
        <v>0</v>
      </c>
      <c r="AD39" s="81">
        <f t="shared" si="30"/>
        <v>0</v>
      </c>
      <c r="AE39" s="81">
        <f t="shared" si="15"/>
        <v>0</v>
      </c>
      <c r="AF39" s="81">
        <f t="shared" si="31"/>
        <v>0</v>
      </c>
      <c r="AG39" s="81">
        <f t="shared" si="16"/>
        <v>0</v>
      </c>
    </row>
    <row r="40" spans="1:33" ht="15.5" x14ac:dyDescent="0.35">
      <c r="A40" s="57">
        <v>28</v>
      </c>
      <c r="B40" s="80">
        <f t="shared" si="17"/>
        <v>0</v>
      </c>
      <c r="C40" s="81">
        <f t="shared" si="18"/>
        <v>0</v>
      </c>
      <c r="D40" s="81">
        <f t="shared" si="19"/>
        <v>54418.080000000002</v>
      </c>
      <c r="E40" s="81">
        <f t="shared" si="0"/>
        <v>101467.28924997973</v>
      </c>
      <c r="F40" s="81">
        <f t="shared" si="20"/>
        <v>30421.52</v>
      </c>
      <c r="G40" s="81">
        <f t="shared" si="1"/>
        <v>233249.22172393411</v>
      </c>
      <c r="H40" s="81">
        <f t="shared" si="21"/>
        <v>0</v>
      </c>
      <c r="I40" s="81">
        <f t="shared" si="2"/>
        <v>0</v>
      </c>
      <c r="J40" s="81">
        <f t="shared" si="22"/>
        <v>0</v>
      </c>
      <c r="K40" s="81">
        <f t="shared" si="3"/>
        <v>0</v>
      </c>
      <c r="L40" s="81">
        <f t="shared" si="23"/>
        <v>0</v>
      </c>
      <c r="M40" s="81">
        <f t="shared" si="4"/>
        <v>0</v>
      </c>
      <c r="N40" s="81">
        <f t="shared" si="24"/>
        <v>0</v>
      </c>
      <c r="O40" s="81">
        <f t="shared" si="5"/>
        <v>0</v>
      </c>
      <c r="P40" s="81">
        <f t="shared" si="25"/>
        <v>0</v>
      </c>
      <c r="Q40" s="81">
        <f t="shared" si="6"/>
        <v>0</v>
      </c>
      <c r="R40" s="81">
        <f t="shared" si="26"/>
        <v>0</v>
      </c>
      <c r="S40" s="81">
        <f t="shared" si="7"/>
        <v>0</v>
      </c>
      <c r="T40" s="81">
        <f t="shared" si="27"/>
        <v>0</v>
      </c>
      <c r="U40" s="81">
        <f t="shared" si="8"/>
        <v>0</v>
      </c>
      <c r="V40" s="81">
        <f t="shared" si="28"/>
        <v>0</v>
      </c>
      <c r="W40" s="81">
        <f t="shared" si="9"/>
        <v>0</v>
      </c>
      <c r="X40" s="81">
        <f t="shared" si="29"/>
        <v>0</v>
      </c>
      <c r="Y40" s="81">
        <f t="shared" si="10"/>
        <v>0</v>
      </c>
      <c r="Z40" s="81">
        <f t="shared" si="33"/>
        <v>0</v>
      </c>
      <c r="AA40" s="81">
        <f t="shared" si="12"/>
        <v>0</v>
      </c>
      <c r="AB40" s="81">
        <f t="shared" si="32"/>
        <v>0</v>
      </c>
      <c r="AC40" s="81">
        <f t="shared" si="14"/>
        <v>0</v>
      </c>
      <c r="AD40" s="81">
        <f t="shared" si="30"/>
        <v>0</v>
      </c>
      <c r="AE40" s="81">
        <f t="shared" si="15"/>
        <v>0</v>
      </c>
      <c r="AF40" s="81">
        <f t="shared" si="31"/>
        <v>0</v>
      </c>
      <c r="AG40" s="81">
        <f t="shared" si="16"/>
        <v>0</v>
      </c>
    </row>
    <row r="41" spans="1:33" ht="15.5" x14ac:dyDescent="0.35">
      <c r="A41" s="57">
        <v>29</v>
      </c>
      <c r="B41" s="80">
        <f t="shared" si="17"/>
        <v>0</v>
      </c>
      <c r="C41" s="81">
        <f t="shared" si="18"/>
        <v>0</v>
      </c>
      <c r="D41" s="81">
        <f t="shared" si="19"/>
        <v>54418.080000000002</v>
      </c>
      <c r="E41" s="81">
        <f t="shared" si="0"/>
        <v>47770.63045847942</v>
      </c>
      <c r="F41" s="81">
        <f t="shared" si="20"/>
        <v>30421.52</v>
      </c>
      <c r="G41" s="81">
        <f t="shared" si="1"/>
        <v>203672.81714778385</v>
      </c>
      <c r="H41" s="81">
        <f t="shared" si="21"/>
        <v>0</v>
      </c>
      <c r="I41" s="81">
        <f t="shared" si="2"/>
        <v>0</v>
      </c>
      <c r="J41" s="81">
        <f t="shared" si="22"/>
        <v>0</v>
      </c>
      <c r="K41" s="81">
        <f t="shared" si="3"/>
        <v>0</v>
      </c>
      <c r="L41" s="81">
        <f t="shared" si="23"/>
        <v>0</v>
      </c>
      <c r="M41" s="81">
        <f t="shared" si="4"/>
        <v>0</v>
      </c>
      <c r="N41" s="81">
        <f t="shared" si="24"/>
        <v>0</v>
      </c>
      <c r="O41" s="81">
        <f t="shared" si="5"/>
        <v>0</v>
      </c>
      <c r="P41" s="81">
        <f t="shared" si="25"/>
        <v>0</v>
      </c>
      <c r="Q41" s="81">
        <f t="shared" si="6"/>
        <v>0</v>
      </c>
      <c r="R41" s="81">
        <f t="shared" si="26"/>
        <v>0</v>
      </c>
      <c r="S41" s="81">
        <f t="shared" si="7"/>
        <v>0</v>
      </c>
      <c r="T41" s="81">
        <f t="shared" si="27"/>
        <v>0</v>
      </c>
      <c r="U41" s="81">
        <f t="shared" si="8"/>
        <v>0</v>
      </c>
      <c r="V41" s="81">
        <f t="shared" si="28"/>
        <v>0</v>
      </c>
      <c r="W41" s="81">
        <f t="shared" si="9"/>
        <v>0</v>
      </c>
      <c r="X41" s="81">
        <f t="shared" si="29"/>
        <v>0</v>
      </c>
      <c r="Y41" s="81">
        <f t="shared" si="10"/>
        <v>0</v>
      </c>
      <c r="Z41" s="81">
        <f t="shared" si="33"/>
        <v>0</v>
      </c>
      <c r="AA41" s="81">
        <f t="shared" si="12"/>
        <v>0</v>
      </c>
      <c r="AB41" s="81">
        <f t="shared" si="32"/>
        <v>0</v>
      </c>
      <c r="AC41" s="81">
        <f t="shared" si="14"/>
        <v>0</v>
      </c>
      <c r="AD41" s="81">
        <f t="shared" si="30"/>
        <v>0</v>
      </c>
      <c r="AE41" s="81">
        <f t="shared" si="15"/>
        <v>0</v>
      </c>
      <c r="AF41" s="81">
        <f t="shared" si="31"/>
        <v>0</v>
      </c>
      <c r="AG41" s="81">
        <f t="shared" si="16"/>
        <v>0</v>
      </c>
    </row>
    <row r="42" spans="1:33" ht="15.5" x14ac:dyDescent="0.35">
      <c r="A42" s="57">
        <v>30</v>
      </c>
      <c r="B42" s="80">
        <f t="shared" si="17"/>
        <v>0</v>
      </c>
      <c r="C42" s="81">
        <f t="shared" si="18"/>
        <v>0</v>
      </c>
      <c r="D42" s="81">
        <f t="shared" si="19"/>
        <v>47770.63045847942</v>
      </c>
      <c r="E42" s="81">
        <f t="shared" si="0"/>
        <v>0</v>
      </c>
      <c r="F42" s="81">
        <f>IF(AND(((G41-$H$2+D42-G$9-E$9-C$9)&lt;=0),E42=0),G41, IF((G41-$G$9-$H$2)&lt;=0,G41,IF(E42=0,$H$2-D42+G$9+E$9+C$9,G$9)))</f>
        <v>37068.969541520579</v>
      </c>
      <c r="G42" s="81">
        <f t="shared" si="1"/>
        <v>167298.03030462269</v>
      </c>
      <c r="H42" s="81">
        <f t="shared" si="21"/>
        <v>0</v>
      </c>
      <c r="I42" s="81">
        <f t="shared" si="2"/>
        <v>0</v>
      </c>
      <c r="J42" s="81">
        <f t="shared" si="22"/>
        <v>0</v>
      </c>
      <c r="K42" s="81">
        <f t="shared" si="3"/>
        <v>0</v>
      </c>
      <c r="L42" s="81">
        <f t="shared" si="23"/>
        <v>0</v>
      </c>
      <c r="M42" s="81">
        <f t="shared" si="4"/>
        <v>0</v>
      </c>
      <c r="N42" s="81">
        <f t="shared" si="24"/>
        <v>0</v>
      </c>
      <c r="O42" s="81">
        <f t="shared" si="5"/>
        <v>0</v>
      </c>
      <c r="P42" s="81">
        <f t="shared" si="25"/>
        <v>0</v>
      </c>
      <c r="Q42" s="81">
        <f t="shared" si="6"/>
        <v>0</v>
      </c>
      <c r="R42" s="81">
        <f t="shared" si="26"/>
        <v>0</v>
      </c>
      <c r="S42" s="81">
        <f t="shared" si="7"/>
        <v>0</v>
      </c>
      <c r="T42" s="81">
        <f t="shared" si="27"/>
        <v>0</v>
      </c>
      <c r="U42" s="81">
        <f t="shared" si="8"/>
        <v>0</v>
      </c>
      <c r="V42" s="81">
        <f t="shared" si="28"/>
        <v>0</v>
      </c>
      <c r="W42" s="81">
        <f t="shared" si="9"/>
        <v>0</v>
      </c>
      <c r="X42" s="81">
        <f t="shared" si="29"/>
        <v>0</v>
      </c>
      <c r="Y42" s="81">
        <f t="shared" si="10"/>
        <v>0</v>
      </c>
      <c r="Z42" s="81">
        <f t="shared" si="33"/>
        <v>0</v>
      </c>
      <c r="AA42" s="81">
        <f t="shared" si="12"/>
        <v>0</v>
      </c>
      <c r="AB42" s="81">
        <f t="shared" si="32"/>
        <v>0</v>
      </c>
      <c r="AC42" s="81">
        <f t="shared" si="14"/>
        <v>0</v>
      </c>
      <c r="AD42" s="81">
        <f t="shared" si="30"/>
        <v>0</v>
      </c>
      <c r="AE42" s="81">
        <f t="shared" si="15"/>
        <v>0</v>
      </c>
      <c r="AF42" s="81">
        <f t="shared" si="31"/>
        <v>0</v>
      </c>
      <c r="AG42" s="81">
        <f t="shared" si="16"/>
        <v>0</v>
      </c>
    </row>
    <row r="43" spans="1:33" ht="15.5" x14ac:dyDescent="0.35">
      <c r="A43" s="57">
        <v>31</v>
      </c>
      <c r="B43" s="80">
        <f t="shared" si="17"/>
        <v>0</v>
      </c>
      <c r="C43" s="81">
        <f t="shared" si="18"/>
        <v>0</v>
      </c>
      <c r="D43" s="81">
        <f t="shared" si="19"/>
        <v>0</v>
      </c>
      <c r="E43" s="81">
        <f t="shared" si="0"/>
        <v>0</v>
      </c>
      <c r="F43" s="81">
        <f t="shared" si="20"/>
        <v>84839.6</v>
      </c>
      <c r="G43" s="81">
        <f t="shared" si="1"/>
        <v>82802.007097558613</v>
      </c>
      <c r="H43" s="81">
        <f t="shared" si="21"/>
        <v>0</v>
      </c>
      <c r="I43" s="81">
        <f t="shared" si="2"/>
        <v>0</v>
      </c>
      <c r="J43" s="81">
        <f t="shared" si="22"/>
        <v>0</v>
      </c>
      <c r="K43" s="81">
        <f t="shared" si="3"/>
        <v>0</v>
      </c>
      <c r="L43" s="81">
        <f t="shared" si="23"/>
        <v>0</v>
      </c>
      <c r="M43" s="81">
        <f t="shared" si="4"/>
        <v>0</v>
      </c>
      <c r="N43" s="81">
        <f t="shared" si="24"/>
        <v>0</v>
      </c>
      <c r="O43" s="81">
        <f t="shared" si="5"/>
        <v>0</v>
      </c>
      <c r="P43" s="81">
        <f t="shared" si="25"/>
        <v>0</v>
      </c>
      <c r="Q43" s="81">
        <f t="shared" si="6"/>
        <v>0</v>
      </c>
      <c r="R43" s="81">
        <f t="shared" si="26"/>
        <v>0</v>
      </c>
      <c r="S43" s="81">
        <f t="shared" si="7"/>
        <v>0</v>
      </c>
      <c r="T43" s="81">
        <f t="shared" si="27"/>
        <v>0</v>
      </c>
      <c r="U43" s="81">
        <f t="shared" si="8"/>
        <v>0</v>
      </c>
      <c r="V43" s="81">
        <f t="shared" si="28"/>
        <v>0</v>
      </c>
      <c r="W43" s="81">
        <f t="shared" si="9"/>
        <v>0</v>
      </c>
      <c r="X43" s="81">
        <f t="shared" si="29"/>
        <v>0</v>
      </c>
      <c r="Y43" s="81">
        <f t="shared" si="10"/>
        <v>0</v>
      </c>
      <c r="Z43" s="81">
        <f t="shared" si="33"/>
        <v>0</v>
      </c>
      <c r="AA43" s="81">
        <f t="shared" si="12"/>
        <v>0</v>
      </c>
      <c r="AB43" s="81">
        <f t="shared" si="32"/>
        <v>0</v>
      </c>
      <c r="AC43" s="81">
        <f t="shared" si="14"/>
        <v>0</v>
      </c>
      <c r="AD43" s="81">
        <f t="shared" si="30"/>
        <v>0</v>
      </c>
      <c r="AE43" s="81">
        <f t="shared" si="15"/>
        <v>0</v>
      </c>
      <c r="AF43" s="81">
        <f t="shared" si="31"/>
        <v>0</v>
      </c>
      <c r="AG43" s="81">
        <f t="shared" si="16"/>
        <v>0</v>
      </c>
    </row>
    <row r="44" spans="1:33" ht="15.5" x14ac:dyDescent="0.35">
      <c r="A44" s="57">
        <v>32</v>
      </c>
      <c r="B44" s="80">
        <f t="shared" si="17"/>
        <v>0</v>
      </c>
      <c r="C44" s="81">
        <f t="shared" si="18"/>
        <v>0</v>
      </c>
      <c r="D44" s="81">
        <f t="shared" si="19"/>
        <v>0</v>
      </c>
      <c r="E44" s="81">
        <f t="shared" si="0"/>
        <v>0</v>
      </c>
      <c r="F44" s="81">
        <f t="shared" si="20"/>
        <v>82802.007097558613</v>
      </c>
      <c r="G44" s="81">
        <f t="shared" si="1"/>
        <v>0</v>
      </c>
      <c r="H44" s="81">
        <f t="shared" si="21"/>
        <v>0</v>
      </c>
      <c r="I44" s="81">
        <f t="shared" si="2"/>
        <v>0</v>
      </c>
      <c r="J44" s="81">
        <f t="shared" si="22"/>
        <v>0</v>
      </c>
      <c r="K44" s="81">
        <f t="shared" si="3"/>
        <v>0</v>
      </c>
      <c r="L44" s="81">
        <f t="shared" si="23"/>
        <v>0</v>
      </c>
      <c r="M44" s="81">
        <f t="shared" si="4"/>
        <v>0</v>
      </c>
      <c r="N44" s="81">
        <f t="shared" si="24"/>
        <v>0</v>
      </c>
      <c r="O44" s="81">
        <f t="shared" si="5"/>
        <v>0</v>
      </c>
      <c r="P44" s="81">
        <f t="shared" si="25"/>
        <v>0</v>
      </c>
      <c r="Q44" s="81">
        <f t="shared" si="6"/>
        <v>0</v>
      </c>
      <c r="R44" s="81">
        <f t="shared" si="26"/>
        <v>0</v>
      </c>
      <c r="S44" s="81">
        <f t="shared" si="7"/>
        <v>0</v>
      </c>
      <c r="T44" s="81">
        <f t="shared" si="27"/>
        <v>0</v>
      </c>
      <c r="U44" s="81">
        <f t="shared" si="8"/>
        <v>0</v>
      </c>
      <c r="V44" s="81">
        <f t="shared" si="28"/>
        <v>0</v>
      </c>
      <c r="W44" s="81">
        <f t="shared" si="9"/>
        <v>0</v>
      </c>
      <c r="X44" s="81">
        <f t="shared" si="29"/>
        <v>0</v>
      </c>
      <c r="Y44" s="81">
        <f t="shared" si="10"/>
        <v>0</v>
      </c>
      <c r="Z44" s="81">
        <f t="shared" si="33"/>
        <v>0</v>
      </c>
      <c r="AA44" s="81">
        <f t="shared" si="12"/>
        <v>0</v>
      </c>
      <c r="AB44" s="81">
        <f t="shared" si="32"/>
        <v>0</v>
      </c>
      <c r="AC44" s="81">
        <f t="shared" si="14"/>
        <v>0</v>
      </c>
      <c r="AD44" s="81">
        <f t="shared" si="30"/>
        <v>0</v>
      </c>
      <c r="AE44" s="81">
        <f t="shared" si="15"/>
        <v>0</v>
      </c>
      <c r="AF44" s="81">
        <f t="shared" si="31"/>
        <v>0</v>
      </c>
      <c r="AG44" s="81">
        <f t="shared" si="16"/>
        <v>0</v>
      </c>
    </row>
    <row r="45" spans="1:33" ht="15.5" x14ac:dyDescent="0.35">
      <c r="A45" s="57">
        <v>33</v>
      </c>
      <c r="B45" s="80">
        <f t="shared" si="17"/>
        <v>0</v>
      </c>
      <c r="C45" s="81">
        <f t="shared" si="18"/>
        <v>0</v>
      </c>
      <c r="D45" s="81">
        <f t="shared" si="19"/>
        <v>0</v>
      </c>
      <c r="E45" s="81">
        <f t="shared" si="0"/>
        <v>0</v>
      </c>
      <c r="F45" s="81">
        <f t="shared" si="20"/>
        <v>0</v>
      </c>
      <c r="G45" s="81">
        <f t="shared" si="1"/>
        <v>0</v>
      </c>
      <c r="H45" s="81">
        <f t="shared" si="21"/>
        <v>0</v>
      </c>
      <c r="I45" s="81">
        <f t="shared" si="2"/>
        <v>0</v>
      </c>
      <c r="J45" s="81">
        <f t="shared" si="22"/>
        <v>0</v>
      </c>
      <c r="K45" s="81">
        <f t="shared" si="3"/>
        <v>0</v>
      </c>
      <c r="L45" s="81">
        <f t="shared" si="23"/>
        <v>0</v>
      </c>
      <c r="M45" s="81">
        <f t="shared" si="4"/>
        <v>0</v>
      </c>
      <c r="N45" s="81">
        <f t="shared" si="24"/>
        <v>0</v>
      </c>
      <c r="O45" s="81">
        <f t="shared" si="5"/>
        <v>0</v>
      </c>
      <c r="P45" s="81">
        <f t="shared" si="25"/>
        <v>0</v>
      </c>
      <c r="Q45" s="81">
        <f t="shared" si="6"/>
        <v>0</v>
      </c>
      <c r="R45" s="81">
        <f t="shared" si="26"/>
        <v>0</v>
      </c>
      <c r="S45" s="81">
        <f t="shared" si="7"/>
        <v>0</v>
      </c>
      <c r="T45" s="81">
        <f t="shared" si="27"/>
        <v>0</v>
      </c>
      <c r="U45" s="81">
        <f t="shared" si="8"/>
        <v>0</v>
      </c>
      <c r="V45" s="81">
        <f t="shared" si="28"/>
        <v>0</v>
      </c>
      <c r="W45" s="81">
        <f t="shared" si="9"/>
        <v>0</v>
      </c>
      <c r="X45" s="81">
        <f t="shared" si="29"/>
        <v>0</v>
      </c>
      <c r="Y45" s="81">
        <f t="shared" si="10"/>
        <v>0</v>
      </c>
      <c r="Z45" s="81">
        <f t="shared" si="33"/>
        <v>0</v>
      </c>
      <c r="AA45" s="81">
        <f t="shared" si="12"/>
        <v>0</v>
      </c>
      <c r="AB45" s="81">
        <f t="shared" si="32"/>
        <v>0</v>
      </c>
      <c r="AC45" s="81">
        <f t="shared" si="14"/>
        <v>0</v>
      </c>
      <c r="AD45" s="81">
        <f t="shared" si="30"/>
        <v>0</v>
      </c>
      <c r="AE45" s="81">
        <f t="shared" si="15"/>
        <v>0</v>
      </c>
      <c r="AF45" s="81">
        <f t="shared" si="31"/>
        <v>0</v>
      </c>
      <c r="AG45" s="81">
        <f t="shared" si="16"/>
        <v>0</v>
      </c>
    </row>
    <row r="46" spans="1:33" ht="15.5" x14ac:dyDescent="0.35">
      <c r="A46" s="57">
        <v>34</v>
      </c>
      <c r="B46" s="80">
        <f t="shared" si="17"/>
        <v>0</v>
      </c>
      <c r="C46" s="81">
        <f t="shared" si="18"/>
        <v>0</v>
      </c>
      <c r="D46" s="81">
        <f t="shared" si="19"/>
        <v>0</v>
      </c>
      <c r="E46" s="81">
        <f t="shared" si="0"/>
        <v>0</v>
      </c>
      <c r="F46" s="81">
        <f t="shared" si="20"/>
        <v>0</v>
      </c>
      <c r="G46" s="81">
        <f t="shared" si="1"/>
        <v>0</v>
      </c>
      <c r="H46" s="81">
        <f t="shared" si="21"/>
        <v>0</v>
      </c>
      <c r="I46" s="81">
        <f t="shared" si="2"/>
        <v>0</v>
      </c>
      <c r="J46" s="81">
        <f t="shared" si="22"/>
        <v>0</v>
      </c>
      <c r="K46" s="81">
        <f t="shared" si="3"/>
        <v>0</v>
      </c>
      <c r="L46" s="81">
        <f t="shared" si="23"/>
        <v>0</v>
      </c>
      <c r="M46" s="81">
        <f t="shared" si="4"/>
        <v>0</v>
      </c>
      <c r="N46" s="81">
        <f t="shared" si="24"/>
        <v>0</v>
      </c>
      <c r="O46" s="81">
        <f t="shared" si="5"/>
        <v>0</v>
      </c>
      <c r="P46" s="81">
        <f t="shared" si="25"/>
        <v>0</v>
      </c>
      <c r="Q46" s="81">
        <f t="shared" si="6"/>
        <v>0</v>
      </c>
      <c r="R46" s="81">
        <f t="shared" si="26"/>
        <v>0</v>
      </c>
      <c r="S46" s="81">
        <f t="shared" si="7"/>
        <v>0</v>
      </c>
      <c r="T46" s="81">
        <f t="shared" si="27"/>
        <v>0</v>
      </c>
      <c r="U46" s="81">
        <f t="shared" si="8"/>
        <v>0</v>
      </c>
      <c r="V46" s="81">
        <f t="shared" si="28"/>
        <v>0</v>
      </c>
      <c r="W46" s="81">
        <f t="shared" si="9"/>
        <v>0</v>
      </c>
      <c r="X46" s="81">
        <f t="shared" si="29"/>
        <v>0</v>
      </c>
      <c r="Y46" s="81">
        <f t="shared" si="10"/>
        <v>0</v>
      </c>
      <c r="Z46" s="81">
        <f t="shared" si="33"/>
        <v>0</v>
      </c>
      <c r="AA46" s="81">
        <f t="shared" si="12"/>
        <v>0</v>
      </c>
      <c r="AB46" s="81">
        <f t="shared" si="32"/>
        <v>0</v>
      </c>
      <c r="AC46" s="81">
        <f t="shared" si="14"/>
        <v>0</v>
      </c>
      <c r="AD46" s="81">
        <f t="shared" si="30"/>
        <v>0</v>
      </c>
      <c r="AE46" s="81">
        <f t="shared" si="15"/>
        <v>0</v>
      </c>
      <c r="AF46" s="81">
        <f t="shared" si="31"/>
        <v>0</v>
      </c>
      <c r="AG46" s="81">
        <f t="shared" si="16"/>
        <v>0</v>
      </c>
    </row>
    <row r="47" spans="1:33" ht="15.5" x14ac:dyDescent="0.35">
      <c r="A47" s="57">
        <v>35</v>
      </c>
      <c r="B47" s="80">
        <f t="shared" si="17"/>
        <v>0</v>
      </c>
      <c r="C47" s="81">
        <f t="shared" si="18"/>
        <v>0</v>
      </c>
      <c r="D47" s="81">
        <f t="shared" si="19"/>
        <v>0</v>
      </c>
      <c r="E47" s="81">
        <f t="shared" si="0"/>
        <v>0</v>
      </c>
      <c r="F47" s="81">
        <f t="shared" si="20"/>
        <v>0</v>
      </c>
      <c r="G47" s="81">
        <f t="shared" si="1"/>
        <v>0</v>
      </c>
      <c r="H47" s="81">
        <f t="shared" si="21"/>
        <v>0</v>
      </c>
      <c r="I47" s="81">
        <f t="shared" si="2"/>
        <v>0</v>
      </c>
      <c r="J47" s="81">
        <f t="shared" si="22"/>
        <v>0</v>
      </c>
      <c r="K47" s="81">
        <f t="shared" si="3"/>
        <v>0</v>
      </c>
      <c r="L47" s="81">
        <f t="shared" si="23"/>
        <v>0</v>
      </c>
      <c r="M47" s="81">
        <f t="shared" si="4"/>
        <v>0</v>
      </c>
      <c r="N47" s="81">
        <f t="shared" si="24"/>
        <v>0</v>
      </c>
      <c r="O47" s="81">
        <f t="shared" si="5"/>
        <v>0</v>
      </c>
      <c r="P47" s="81">
        <f t="shared" si="25"/>
        <v>0</v>
      </c>
      <c r="Q47" s="81">
        <f t="shared" si="6"/>
        <v>0</v>
      </c>
      <c r="R47" s="81">
        <f t="shared" si="26"/>
        <v>0</v>
      </c>
      <c r="S47" s="81">
        <f t="shared" si="7"/>
        <v>0</v>
      </c>
      <c r="T47" s="81">
        <f t="shared" si="27"/>
        <v>0</v>
      </c>
      <c r="U47" s="81">
        <f t="shared" si="8"/>
        <v>0</v>
      </c>
      <c r="V47" s="81">
        <f t="shared" si="28"/>
        <v>0</v>
      </c>
      <c r="W47" s="81">
        <f t="shared" si="9"/>
        <v>0</v>
      </c>
      <c r="X47" s="81">
        <f t="shared" si="29"/>
        <v>0</v>
      </c>
      <c r="Y47" s="81">
        <f t="shared" si="10"/>
        <v>0</v>
      </c>
      <c r="Z47" s="81">
        <f t="shared" si="33"/>
        <v>0</v>
      </c>
      <c r="AA47" s="81">
        <f t="shared" si="12"/>
        <v>0</v>
      </c>
      <c r="AB47" s="81">
        <f t="shared" si="32"/>
        <v>0</v>
      </c>
      <c r="AC47" s="81">
        <f t="shared" si="14"/>
        <v>0</v>
      </c>
      <c r="AD47" s="81">
        <f t="shared" si="30"/>
        <v>0</v>
      </c>
      <c r="AE47" s="81">
        <f t="shared" si="15"/>
        <v>0</v>
      </c>
      <c r="AF47" s="81">
        <f t="shared" si="31"/>
        <v>0</v>
      </c>
      <c r="AG47" s="81">
        <f t="shared" si="16"/>
        <v>0</v>
      </c>
    </row>
    <row r="48" spans="1:33" ht="15.5" x14ac:dyDescent="0.35">
      <c r="A48" s="57">
        <v>36</v>
      </c>
      <c r="B48" s="80">
        <f t="shared" si="17"/>
        <v>0</v>
      </c>
      <c r="C48" s="81">
        <f t="shared" si="18"/>
        <v>0</v>
      </c>
      <c r="D48" s="81">
        <f t="shared" si="19"/>
        <v>0</v>
      </c>
      <c r="E48" s="81">
        <f t="shared" si="0"/>
        <v>0</v>
      </c>
      <c r="F48" s="81">
        <f t="shared" si="20"/>
        <v>0</v>
      </c>
      <c r="G48" s="81">
        <f t="shared" si="1"/>
        <v>0</v>
      </c>
      <c r="H48" s="81">
        <f t="shared" si="21"/>
        <v>0</v>
      </c>
      <c r="I48" s="81">
        <f t="shared" si="2"/>
        <v>0</v>
      </c>
      <c r="J48" s="81">
        <f t="shared" si="22"/>
        <v>0</v>
      </c>
      <c r="K48" s="81">
        <f t="shared" si="3"/>
        <v>0</v>
      </c>
      <c r="L48" s="81">
        <f t="shared" si="23"/>
        <v>0</v>
      </c>
      <c r="M48" s="81">
        <f t="shared" si="4"/>
        <v>0</v>
      </c>
      <c r="N48" s="81">
        <f t="shared" si="24"/>
        <v>0</v>
      </c>
      <c r="O48" s="81">
        <f t="shared" si="5"/>
        <v>0</v>
      </c>
      <c r="P48" s="81">
        <f t="shared" si="25"/>
        <v>0</v>
      </c>
      <c r="Q48" s="81">
        <f t="shared" si="6"/>
        <v>0</v>
      </c>
      <c r="R48" s="81">
        <f t="shared" si="26"/>
        <v>0</v>
      </c>
      <c r="S48" s="81">
        <f t="shared" si="7"/>
        <v>0</v>
      </c>
      <c r="T48" s="81">
        <f t="shared" si="27"/>
        <v>0</v>
      </c>
      <c r="U48" s="81">
        <f t="shared" si="8"/>
        <v>0</v>
      </c>
      <c r="V48" s="81">
        <f t="shared" si="28"/>
        <v>0</v>
      </c>
      <c r="W48" s="81">
        <f t="shared" si="9"/>
        <v>0</v>
      </c>
      <c r="X48" s="81">
        <f t="shared" si="29"/>
        <v>0</v>
      </c>
      <c r="Y48" s="81">
        <f t="shared" si="10"/>
        <v>0</v>
      </c>
      <c r="Z48" s="81">
        <f t="shared" si="33"/>
        <v>0</v>
      </c>
      <c r="AA48" s="81">
        <f t="shared" si="12"/>
        <v>0</v>
      </c>
      <c r="AB48" s="81">
        <f t="shared" si="32"/>
        <v>0</v>
      </c>
      <c r="AC48" s="81">
        <f t="shared" si="14"/>
        <v>0</v>
      </c>
      <c r="AD48" s="81">
        <f t="shared" si="30"/>
        <v>0</v>
      </c>
      <c r="AE48" s="81">
        <f t="shared" si="15"/>
        <v>0</v>
      </c>
      <c r="AF48" s="81">
        <f t="shared" si="31"/>
        <v>0</v>
      </c>
      <c r="AG48" s="81">
        <f t="shared" si="16"/>
        <v>0</v>
      </c>
    </row>
    <row r="49" spans="1:33" ht="15.5" x14ac:dyDescent="0.35">
      <c r="A49" s="57">
        <v>37</v>
      </c>
      <c r="B49" s="80">
        <f t="shared" si="17"/>
        <v>0</v>
      </c>
      <c r="C49" s="81">
        <f t="shared" si="18"/>
        <v>0</v>
      </c>
      <c r="D49" s="81">
        <f t="shared" si="19"/>
        <v>0</v>
      </c>
      <c r="E49" s="81">
        <f t="shared" si="0"/>
        <v>0</v>
      </c>
      <c r="F49" s="81">
        <f t="shared" si="20"/>
        <v>0</v>
      </c>
      <c r="G49" s="81">
        <f t="shared" si="1"/>
        <v>0</v>
      </c>
      <c r="H49" s="81">
        <f t="shared" si="21"/>
        <v>0</v>
      </c>
      <c r="I49" s="81">
        <f t="shared" si="2"/>
        <v>0</v>
      </c>
      <c r="J49" s="81">
        <f t="shared" si="22"/>
        <v>0</v>
      </c>
      <c r="K49" s="81">
        <f t="shared" si="3"/>
        <v>0</v>
      </c>
      <c r="L49" s="81">
        <f t="shared" si="23"/>
        <v>0</v>
      </c>
      <c r="M49" s="81">
        <f t="shared" si="4"/>
        <v>0</v>
      </c>
      <c r="N49" s="81">
        <f t="shared" si="24"/>
        <v>0</v>
      </c>
      <c r="O49" s="81">
        <f t="shared" si="5"/>
        <v>0</v>
      </c>
      <c r="P49" s="81">
        <f t="shared" si="25"/>
        <v>0</v>
      </c>
      <c r="Q49" s="81">
        <f t="shared" si="6"/>
        <v>0</v>
      </c>
      <c r="R49" s="81">
        <f t="shared" si="26"/>
        <v>0</v>
      </c>
      <c r="S49" s="81">
        <f t="shared" si="7"/>
        <v>0</v>
      </c>
      <c r="T49" s="81">
        <f t="shared" si="27"/>
        <v>0</v>
      </c>
      <c r="U49" s="81">
        <f t="shared" si="8"/>
        <v>0</v>
      </c>
      <c r="V49" s="81">
        <f t="shared" si="28"/>
        <v>0</v>
      </c>
      <c r="W49" s="81">
        <f t="shared" si="9"/>
        <v>0</v>
      </c>
      <c r="X49" s="81">
        <f t="shared" si="29"/>
        <v>0</v>
      </c>
      <c r="Y49" s="81">
        <f t="shared" si="10"/>
        <v>0</v>
      </c>
      <c r="Z49" s="81">
        <f t="shared" si="33"/>
        <v>0</v>
      </c>
      <c r="AA49" s="81">
        <f t="shared" si="12"/>
        <v>0</v>
      </c>
      <c r="AB49" s="81">
        <f t="shared" si="32"/>
        <v>0</v>
      </c>
      <c r="AC49" s="81">
        <f t="shared" si="14"/>
        <v>0</v>
      </c>
      <c r="AD49" s="81">
        <f t="shared" si="30"/>
        <v>0</v>
      </c>
      <c r="AE49" s="81">
        <f t="shared" si="15"/>
        <v>0</v>
      </c>
      <c r="AF49" s="81">
        <f t="shared" si="31"/>
        <v>0</v>
      </c>
      <c r="AG49" s="81">
        <f t="shared" si="16"/>
        <v>0</v>
      </c>
    </row>
    <row r="50" spans="1:33" ht="15.5" x14ac:dyDescent="0.35">
      <c r="A50" s="57">
        <v>38</v>
      </c>
      <c r="B50" s="80">
        <f t="shared" si="17"/>
        <v>0</v>
      </c>
      <c r="C50" s="81">
        <f t="shared" si="18"/>
        <v>0</v>
      </c>
      <c r="D50" s="81">
        <f t="shared" si="19"/>
        <v>0</v>
      </c>
      <c r="E50" s="81">
        <f t="shared" si="0"/>
        <v>0</v>
      </c>
      <c r="F50" s="81">
        <f t="shared" si="20"/>
        <v>0</v>
      </c>
      <c r="G50" s="81">
        <f t="shared" si="1"/>
        <v>0</v>
      </c>
      <c r="H50" s="81">
        <f t="shared" si="21"/>
        <v>0</v>
      </c>
      <c r="I50" s="81">
        <f t="shared" si="2"/>
        <v>0</v>
      </c>
      <c r="J50" s="81">
        <f t="shared" si="22"/>
        <v>0</v>
      </c>
      <c r="K50" s="81">
        <f t="shared" si="3"/>
        <v>0</v>
      </c>
      <c r="L50" s="81">
        <f t="shared" si="23"/>
        <v>0</v>
      </c>
      <c r="M50" s="81">
        <f t="shared" si="4"/>
        <v>0</v>
      </c>
      <c r="N50" s="81">
        <f t="shared" si="24"/>
        <v>0</v>
      </c>
      <c r="O50" s="81">
        <f t="shared" si="5"/>
        <v>0</v>
      </c>
      <c r="P50" s="81">
        <f t="shared" si="25"/>
        <v>0</v>
      </c>
      <c r="Q50" s="81">
        <f t="shared" si="6"/>
        <v>0</v>
      </c>
      <c r="R50" s="81">
        <f t="shared" si="26"/>
        <v>0</v>
      </c>
      <c r="S50" s="81">
        <f t="shared" si="7"/>
        <v>0</v>
      </c>
      <c r="T50" s="81">
        <f t="shared" si="27"/>
        <v>0</v>
      </c>
      <c r="U50" s="81">
        <f t="shared" si="8"/>
        <v>0</v>
      </c>
      <c r="V50" s="81">
        <f t="shared" si="28"/>
        <v>0</v>
      </c>
      <c r="W50" s="81">
        <f t="shared" si="9"/>
        <v>0</v>
      </c>
      <c r="X50" s="81">
        <f t="shared" si="29"/>
        <v>0</v>
      </c>
      <c r="Y50" s="81">
        <f t="shared" si="10"/>
        <v>0</v>
      </c>
      <c r="Z50" s="81">
        <f t="shared" si="33"/>
        <v>0</v>
      </c>
      <c r="AA50" s="81">
        <f t="shared" si="12"/>
        <v>0</v>
      </c>
      <c r="AB50" s="81">
        <f t="shared" si="32"/>
        <v>0</v>
      </c>
      <c r="AC50" s="81">
        <f t="shared" si="14"/>
        <v>0</v>
      </c>
      <c r="AD50" s="81">
        <f t="shared" si="30"/>
        <v>0</v>
      </c>
      <c r="AE50" s="81">
        <f t="shared" si="15"/>
        <v>0</v>
      </c>
      <c r="AF50" s="81">
        <f t="shared" si="31"/>
        <v>0</v>
      </c>
      <c r="AG50" s="81">
        <f t="shared" si="16"/>
        <v>0</v>
      </c>
    </row>
    <row r="51" spans="1:33" ht="15.5" x14ac:dyDescent="0.35">
      <c r="A51" s="57">
        <v>39</v>
      </c>
      <c r="B51" s="80">
        <f t="shared" si="17"/>
        <v>0</v>
      </c>
      <c r="C51" s="81">
        <f t="shared" si="18"/>
        <v>0</v>
      </c>
      <c r="D51" s="81">
        <f t="shared" si="19"/>
        <v>0</v>
      </c>
      <c r="E51" s="81">
        <f t="shared" si="0"/>
        <v>0</v>
      </c>
      <c r="F51" s="81">
        <f t="shared" si="20"/>
        <v>0</v>
      </c>
      <c r="G51" s="81">
        <f t="shared" si="1"/>
        <v>0</v>
      </c>
      <c r="H51" s="81">
        <f t="shared" si="21"/>
        <v>0</v>
      </c>
      <c r="I51" s="81">
        <f t="shared" si="2"/>
        <v>0</v>
      </c>
      <c r="J51" s="81">
        <f t="shared" si="22"/>
        <v>0</v>
      </c>
      <c r="K51" s="81">
        <f t="shared" si="3"/>
        <v>0</v>
      </c>
      <c r="L51" s="81">
        <f t="shared" si="23"/>
        <v>0</v>
      </c>
      <c r="M51" s="81">
        <f t="shared" si="4"/>
        <v>0</v>
      </c>
      <c r="N51" s="81">
        <f t="shared" si="24"/>
        <v>0</v>
      </c>
      <c r="O51" s="81">
        <f t="shared" si="5"/>
        <v>0</v>
      </c>
      <c r="P51" s="81">
        <f t="shared" si="25"/>
        <v>0</v>
      </c>
      <c r="Q51" s="81">
        <f t="shared" si="6"/>
        <v>0</v>
      </c>
      <c r="R51" s="81">
        <f t="shared" si="26"/>
        <v>0</v>
      </c>
      <c r="S51" s="81">
        <f t="shared" si="7"/>
        <v>0</v>
      </c>
      <c r="T51" s="81">
        <f t="shared" si="27"/>
        <v>0</v>
      </c>
      <c r="U51" s="81">
        <f t="shared" si="8"/>
        <v>0</v>
      </c>
      <c r="V51" s="81">
        <f t="shared" si="28"/>
        <v>0</v>
      </c>
      <c r="W51" s="81">
        <f t="shared" si="9"/>
        <v>0</v>
      </c>
      <c r="X51" s="81">
        <f t="shared" si="29"/>
        <v>0</v>
      </c>
      <c r="Y51" s="81">
        <f t="shared" si="10"/>
        <v>0</v>
      </c>
      <c r="Z51" s="81">
        <f t="shared" si="33"/>
        <v>0</v>
      </c>
      <c r="AA51" s="81">
        <f t="shared" si="12"/>
        <v>0</v>
      </c>
      <c r="AB51" s="81">
        <f t="shared" si="32"/>
        <v>0</v>
      </c>
      <c r="AC51" s="81">
        <f t="shared" si="14"/>
        <v>0</v>
      </c>
      <c r="AD51" s="81">
        <f t="shared" si="30"/>
        <v>0</v>
      </c>
      <c r="AE51" s="81">
        <f t="shared" si="15"/>
        <v>0</v>
      </c>
      <c r="AF51" s="81">
        <f t="shared" si="31"/>
        <v>0</v>
      </c>
      <c r="AG51" s="81">
        <f t="shared" si="16"/>
        <v>0</v>
      </c>
    </row>
    <row r="52" spans="1:33" ht="15.5" x14ac:dyDescent="0.35">
      <c r="A52" s="57">
        <v>40</v>
      </c>
      <c r="B52" s="80">
        <f t="shared" si="17"/>
        <v>0</v>
      </c>
      <c r="C52" s="81">
        <f t="shared" si="18"/>
        <v>0</v>
      </c>
      <c r="D52" s="81">
        <f t="shared" si="19"/>
        <v>0</v>
      </c>
      <c r="E52" s="81">
        <f t="shared" si="0"/>
        <v>0</v>
      </c>
      <c r="F52" s="81">
        <f t="shared" si="20"/>
        <v>0</v>
      </c>
      <c r="G52" s="81">
        <f t="shared" si="1"/>
        <v>0</v>
      </c>
      <c r="H52" s="81">
        <f t="shared" si="21"/>
        <v>0</v>
      </c>
      <c r="I52" s="81">
        <f t="shared" si="2"/>
        <v>0</v>
      </c>
      <c r="J52" s="81">
        <f t="shared" si="22"/>
        <v>0</v>
      </c>
      <c r="K52" s="81">
        <f t="shared" si="3"/>
        <v>0</v>
      </c>
      <c r="L52" s="81">
        <f t="shared" si="23"/>
        <v>0</v>
      </c>
      <c r="M52" s="81">
        <f t="shared" si="4"/>
        <v>0</v>
      </c>
      <c r="N52" s="81">
        <f t="shared" si="24"/>
        <v>0</v>
      </c>
      <c r="O52" s="81">
        <f t="shared" si="5"/>
        <v>0</v>
      </c>
      <c r="P52" s="81">
        <f t="shared" si="25"/>
        <v>0</v>
      </c>
      <c r="Q52" s="81">
        <f t="shared" si="6"/>
        <v>0</v>
      </c>
      <c r="R52" s="81">
        <f t="shared" si="26"/>
        <v>0</v>
      </c>
      <c r="S52" s="81">
        <f t="shared" si="7"/>
        <v>0</v>
      </c>
      <c r="T52" s="81">
        <f t="shared" si="27"/>
        <v>0</v>
      </c>
      <c r="U52" s="81">
        <f t="shared" si="8"/>
        <v>0</v>
      </c>
      <c r="V52" s="81">
        <f t="shared" si="28"/>
        <v>0</v>
      </c>
      <c r="W52" s="81">
        <f t="shared" si="9"/>
        <v>0</v>
      </c>
      <c r="X52" s="81">
        <f t="shared" si="29"/>
        <v>0</v>
      </c>
      <c r="Y52" s="81">
        <f t="shared" si="10"/>
        <v>0</v>
      </c>
      <c r="Z52" s="81">
        <f t="shared" si="33"/>
        <v>0</v>
      </c>
      <c r="AA52" s="81">
        <f t="shared" si="12"/>
        <v>0</v>
      </c>
      <c r="AB52" s="81">
        <f t="shared" si="32"/>
        <v>0</v>
      </c>
      <c r="AC52" s="81">
        <f t="shared" si="14"/>
        <v>0</v>
      </c>
      <c r="AD52" s="81">
        <f t="shared" si="30"/>
        <v>0</v>
      </c>
      <c r="AE52" s="81">
        <f t="shared" si="15"/>
        <v>0</v>
      </c>
      <c r="AF52" s="81">
        <f t="shared" si="31"/>
        <v>0</v>
      </c>
      <c r="AG52" s="81">
        <f t="shared" si="16"/>
        <v>0</v>
      </c>
    </row>
    <row r="53" spans="1:33" ht="15.5" x14ac:dyDescent="0.35">
      <c r="A53" s="57">
        <v>41</v>
      </c>
      <c r="B53" s="80">
        <f t="shared" si="17"/>
        <v>0</v>
      </c>
      <c r="C53" s="81">
        <f t="shared" si="18"/>
        <v>0</v>
      </c>
      <c r="D53" s="81">
        <f t="shared" si="19"/>
        <v>0</v>
      </c>
      <c r="E53" s="81">
        <f t="shared" si="0"/>
        <v>0</v>
      </c>
      <c r="F53" s="81">
        <f t="shared" si="20"/>
        <v>0</v>
      </c>
      <c r="G53" s="81">
        <f t="shared" si="1"/>
        <v>0</v>
      </c>
      <c r="H53" s="81">
        <f t="shared" si="21"/>
        <v>0</v>
      </c>
      <c r="I53" s="81">
        <f t="shared" si="2"/>
        <v>0</v>
      </c>
      <c r="J53" s="81">
        <f t="shared" si="22"/>
        <v>0</v>
      </c>
      <c r="K53" s="81">
        <f t="shared" si="3"/>
        <v>0</v>
      </c>
      <c r="L53" s="81">
        <f t="shared" si="23"/>
        <v>0</v>
      </c>
      <c r="M53" s="81">
        <f t="shared" si="4"/>
        <v>0</v>
      </c>
      <c r="N53" s="81">
        <f t="shared" si="24"/>
        <v>0</v>
      </c>
      <c r="O53" s="81">
        <f t="shared" si="5"/>
        <v>0</v>
      </c>
      <c r="P53" s="81">
        <f t="shared" si="25"/>
        <v>0</v>
      </c>
      <c r="Q53" s="81">
        <f t="shared" si="6"/>
        <v>0</v>
      </c>
      <c r="R53" s="81">
        <f t="shared" si="26"/>
        <v>0</v>
      </c>
      <c r="S53" s="81">
        <f t="shared" si="7"/>
        <v>0</v>
      </c>
      <c r="T53" s="81">
        <f t="shared" si="27"/>
        <v>0</v>
      </c>
      <c r="U53" s="81">
        <f t="shared" si="8"/>
        <v>0</v>
      </c>
      <c r="V53" s="81">
        <f t="shared" si="28"/>
        <v>0</v>
      </c>
      <c r="W53" s="81">
        <f t="shared" si="9"/>
        <v>0</v>
      </c>
      <c r="X53" s="81">
        <f t="shared" si="29"/>
        <v>0</v>
      </c>
      <c r="Y53" s="81">
        <f t="shared" si="10"/>
        <v>0</v>
      </c>
      <c r="Z53" s="81">
        <f t="shared" si="33"/>
        <v>0</v>
      </c>
      <c r="AA53" s="81">
        <f t="shared" si="12"/>
        <v>0</v>
      </c>
      <c r="AB53" s="81">
        <f t="shared" si="32"/>
        <v>0</v>
      </c>
      <c r="AC53" s="81">
        <f t="shared" si="14"/>
        <v>0</v>
      </c>
      <c r="AD53" s="81">
        <f t="shared" si="30"/>
        <v>0</v>
      </c>
      <c r="AE53" s="81">
        <f t="shared" si="15"/>
        <v>0</v>
      </c>
      <c r="AF53" s="81">
        <f t="shared" si="31"/>
        <v>0</v>
      </c>
      <c r="AG53" s="81">
        <f t="shared" si="16"/>
        <v>0</v>
      </c>
    </row>
    <row r="54" spans="1:33" ht="15.5" x14ac:dyDescent="0.35">
      <c r="A54" s="57">
        <v>42</v>
      </c>
      <c r="B54" s="80">
        <f t="shared" si="17"/>
        <v>0</v>
      </c>
      <c r="C54" s="81">
        <f t="shared" si="18"/>
        <v>0</v>
      </c>
      <c r="D54" s="81">
        <f t="shared" si="19"/>
        <v>0</v>
      </c>
      <c r="E54" s="81">
        <f t="shared" si="0"/>
        <v>0</v>
      </c>
      <c r="F54" s="81">
        <f t="shared" si="20"/>
        <v>0</v>
      </c>
      <c r="G54" s="81">
        <f t="shared" si="1"/>
        <v>0</v>
      </c>
      <c r="H54" s="81">
        <f t="shared" si="21"/>
        <v>0</v>
      </c>
      <c r="I54" s="81">
        <f t="shared" si="2"/>
        <v>0</v>
      </c>
      <c r="J54" s="81">
        <f t="shared" si="22"/>
        <v>0</v>
      </c>
      <c r="K54" s="81">
        <f t="shared" si="3"/>
        <v>0</v>
      </c>
      <c r="L54" s="81">
        <f t="shared" si="23"/>
        <v>0</v>
      </c>
      <c r="M54" s="81">
        <f t="shared" si="4"/>
        <v>0</v>
      </c>
      <c r="N54" s="81">
        <f t="shared" si="24"/>
        <v>0</v>
      </c>
      <c r="O54" s="81">
        <f t="shared" si="5"/>
        <v>0</v>
      </c>
      <c r="P54" s="81">
        <f t="shared" si="25"/>
        <v>0</v>
      </c>
      <c r="Q54" s="81">
        <f t="shared" si="6"/>
        <v>0</v>
      </c>
      <c r="R54" s="81">
        <f t="shared" si="26"/>
        <v>0</v>
      </c>
      <c r="S54" s="81">
        <f t="shared" si="7"/>
        <v>0</v>
      </c>
      <c r="T54" s="81">
        <f t="shared" si="27"/>
        <v>0</v>
      </c>
      <c r="U54" s="81">
        <f t="shared" si="8"/>
        <v>0</v>
      </c>
      <c r="V54" s="81">
        <f t="shared" si="28"/>
        <v>0</v>
      </c>
      <c r="W54" s="81">
        <f t="shared" si="9"/>
        <v>0</v>
      </c>
      <c r="X54" s="81">
        <f t="shared" si="29"/>
        <v>0</v>
      </c>
      <c r="Y54" s="81">
        <f t="shared" si="10"/>
        <v>0</v>
      </c>
      <c r="Z54" s="81">
        <f t="shared" si="33"/>
        <v>0</v>
      </c>
      <c r="AA54" s="81">
        <f t="shared" si="12"/>
        <v>0</v>
      </c>
      <c r="AB54" s="81">
        <f t="shared" si="32"/>
        <v>0</v>
      </c>
      <c r="AC54" s="81">
        <f t="shared" si="14"/>
        <v>0</v>
      </c>
      <c r="AD54" s="81">
        <f t="shared" si="30"/>
        <v>0</v>
      </c>
      <c r="AE54" s="81">
        <f t="shared" si="15"/>
        <v>0</v>
      </c>
      <c r="AF54" s="81">
        <f t="shared" si="31"/>
        <v>0</v>
      </c>
      <c r="AG54" s="81">
        <f t="shared" si="16"/>
        <v>0</v>
      </c>
    </row>
    <row r="55" spans="1:33" ht="15.5" x14ac:dyDescent="0.35">
      <c r="A55" s="57">
        <v>43</v>
      </c>
      <c r="B55" s="80">
        <f t="shared" si="17"/>
        <v>0</v>
      </c>
      <c r="C55" s="81">
        <f t="shared" si="18"/>
        <v>0</v>
      </c>
      <c r="D55" s="81">
        <f t="shared" si="19"/>
        <v>0</v>
      </c>
      <c r="E55" s="81">
        <f t="shared" si="0"/>
        <v>0</v>
      </c>
      <c r="F55" s="81">
        <f t="shared" si="20"/>
        <v>0</v>
      </c>
      <c r="G55" s="81">
        <f t="shared" si="1"/>
        <v>0</v>
      </c>
      <c r="H55" s="81">
        <f t="shared" si="21"/>
        <v>0</v>
      </c>
      <c r="I55" s="81">
        <f t="shared" si="2"/>
        <v>0</v>
      </c>
      <c r="J55" s="81">
        <f t="shared" si="22"/>
        <v>0</v>
      </c>
      <c r="K55" s="81">
        <f t="shared" si="3"/>
        <v>0</v>
      </c>
      <c r="L55" s="81">
        <f t="shared" si="23"/>
        <v>0</v>
      </c>
      <c r="M55" s="81">
        <f t="shared" si="4"/>
        <v>0</v>
      </c>
      <c r="N55" s="81">
        <f t="shared" si="24"/>
        <v>0</v>
      </c>
      <c r="O55" s="81">
        <f t="shared" si="5"/>
        <v>0</v>
      </c>
      <c r="P55" s="81">
        <f t="shared" si="25"/>
        <v>0</v>
      </c>
      <c r="Q55" s="81">
        <f t="shared" si="6"/>
        <v>0</v>
      </c>
      <c r="R55" s="81">
        <f t="shared" si="26"/>
        <v>0</v>
      </c>
      <c r="S55" s="81">
        <f t="shared" si="7"/>
        <v>0</v>
      </c>
      <c r="T55" s="81">
        <f t="shared" si="27"/>
        <v>0</v>
      </c>
      <c r="U55" s="81">
        <f t="shared" si="8"/>
        <v>0</v>
      </c>
      <c r="V55" s="81">
        <f t="shared" si="28"/>
        <v>0</v>
      </c>
      <c r="W55" s="81">
        <f t="shared" si="9"/>
        <v>0</v>
      </c>
      <c r="X55" s="81">
        <f t="shared" si="29"/>
        <v>0</v>
      </c>
      <c r="Y55" s="81">
        <f t="shared" si="10"/>
        <v>0</v>
      </c>
      <c r="Z55" s="81">
        <f t="shared" si="33"/>
        <v>0</v>
      </c>
      <c r="AA55" s="81">
        <f t="shared" si="12"/>
        <v>0</v>
      </c>
      <c r="AB55" s="81">
        <f t="shared" si="32"/>
        <v>0</v>
      </c>
      <c r="AC55" s="81">
        <f t="shared" si="14"/>
        <v>0</v>
      </c>
      <c r="AD55" s="81">
        <f t="shared" si="30"/>
        <v>0</v>
      </c>
      <c r="AE55" s="81">
        <f t="shared" si="15"/>
        <v>0</v>
      </c>
      <c r="AF55" s="81">
        <f t="shared" si="31"/>
        <v>0</v>
      </c>
      <c r="AG55" s="81">
        <f t="shared" si="16"/>
        <v>0</v>
      </c>
    </row>
    <row r="56" spans="1:33" ht="15.5" x14ac:dyDescent="0.35">
      <c r="A56" s="57">
        <v>44</v>
      </c>
      <c r="B56" s="80">
        <f t="shared" si="17"/>
        <v>0</v>
      </c>
      <c r="C56" s="81">
        <f t="shared" si="18"/>
        <v>0</v>
      </c>
      <c r="D56" s="81">
        <f t="shared" si="19"/>
        <v>0</v>
      </c>
      <c r="E56" s="81">
        <f t="shared" si="0"/>
        <v>0</v>
      </c>
      <c r="F56" s="81">
        <f t="shared" si="20"/>
        <v>0</v>
      </c>
      <c r="G56" s="81">
        <f t="shared" si="1"/>
        <v>0</v>
      </c>
      <c r="H56" s="81">
        <f t="shared" si="21"/>
        <v>0</v>
      </c>
      <c r="I56" s="81">
        <f t="shared" si="2"/>
        <v>0</v>
      </c>
      <c r="J56" s="81">
        <f t="shared" si="22"/>
        <v>0</v>
      </c>
      <c r="K56" s="81">
        <f t="shared" si="3"/>
        <v>0</v>
      </c>
      <c r="L56" s="81">
        <f t="shared" si="23"/>
        <v>0</v>
      </c>
      <c r="M56" s="81">
        <f t="shared" si="4"/>
        <v>0</v>
      </c>
      <c r="N56" s="81">
        <f t="shared" si="24"/>
        <v>0</v>
      </c>
      <c r="O56" s="81">
        <f t="shared" si="5"/>
        <v>0</v>
      </c>
      <c r="P56" s="81">
        <f t="shared" si="25"/>
        <v>0</v>
      </c>
      <c r="Q56" s="81">
        <f t="shared" si="6"/>
        <v>0</v>
      </c>
      <c r="R56" s="81">
        <f t="shared" si="26"/>
        <v>0</v>
      </c>
      <c r="S56" s="81">
        <f t="shared" si="7"/>
        <v>0</v>
      </c>
      <c r="T56" s="81">
        <f t="shared" si="27"/>
        <v>0</v>
      </c>
      <c r="U56" s="81">
        <f t="shared" si="8"/>
        <v>0</v>
      </c>
      <c r="V56" s="81">
        <f t="shared" si="28"/>
        <v>0</v>
      </c>
      <c r="W56" s="81">
        <f t="shared" si="9"/>
        <v>0</v>
      </c>
      <c r="X56" s="81">
        <f t="shared" si="29"/>
        <v>0</v>
      </c>
      <c r="Y56" s="81">
        <f t="shared" si="10"/>
        <v>0</v>
      </c>
      <c r="Z56" s="81">
        <f t="shared" si="33"/>
        <v>0</v>
      </c>
      <c r="AA56" s="81">
        <f t="shared" si="12"/>
        <v>0</v>
      </c>
      <c r="AB56" s="81">
        <f t="shared" si="32"/>
        <v>0</v>
      </c>
      <c r="AC56" s="81">
        <f t="shared" si="14"/>
        <v>0</v>
      </c>
      <c r="AD56" s="81">
        <f t="shared" si="30"/>
        <v>0</v>
      </c>
      <c r="AE56" s="81">
        <f t="shared" si="15"/>
        <v>0</v>
      </c>
      <c r="AF56" s="81">
        <f t="shared" si="31"/>
        <v>0</v>
      </c>
      <c r="AG56" s="81">
        <f t="shared" si="16"/>
        <v>0</v>
      </c>
    </row>
    <row r="57" spans="1:33" ht="15.5" x14ac:dyDescent="0.35">
      <c r="A57" s="57">
        <v>45</v>
      </c>
      <c r="B57" s="80">
        <f t="shared" si="17"/>
        <v>0</v>
      </c>
      <c r="C57" s="81">
        <f t="shared" si="18"/>
        <v>0</v>
      </c>
      <c r="D57" s="81">
        <f t="shared" si="19"/>
        <v>0</v>
      </c>
      <c r="E57" s="81">
        <f t="shared" si="0"/>
        <v>0</v>
      </c>
      <c r="F57" s="81">
        <f t="shared" si="20"/>
        <v>0</v>
      </c>
      <c r="G57" s="81">
        <f t="shared" si="1"/>
        <v>0</v>
      </c>
      <c r="H57" s="81">
        <f t="shared" si="21"/>
        <v>0</v>
      </c>
      <c r="I57" s="81">
        <f t="shared" si="2"/>
        <v>0</v>
      </c>
      <c r="J57" s="81">
        <f t="shared" si="22"/>
        <v>0</v>
      </c>
      <c r="K57" s="81">
        <f t="shared" si="3"/>
        <v>0</v>
      </c>
      <c r="L57" s="81">
        <f t="shared" si="23"/>
        <v>0</v>
      </c>
      <c r="M57" s="81">
        <f t="shared" si="4"/>
        <v>0</v>
      </c>
      <c r="N57" s="81">
        <f t="shared" si="24"/>
        <v>0</v>
      </c>
      <c r="O57" s="81">
        <f t="shared" si="5"/>
        <v>0</v>
      </c>
      <c r="P57" s="81">
        <f t="shared" si="25"/>
        <v>0</v>
      </c>
      <c r="Q57" s="81">
        <f t="shared" si="6"/>
        <v>0</v>
      </c>
      <c r="R57" s="81">
        <f t="shared" si="26"/>
        <v>0</v>
      </c>
      <c r="S57" s="81">
        <f t="shared" si="7"/>
        <v>0</v>
      </c>
      <c r="T57" s="81">
        <f t="shared" si="27"/>
        <v>0</v>
      </c>
      <c r="U57" s="81">
        <f t="shared" si="8"/>
        <v>0</v>
      </c>
      <c r="V57" s="81">
        <f t="shared" si="28"/>
        <v>0</v>
      </c>
      <c r="W57" s="81">
        <f t="shared" si="9"/>
        <v>0</v>
      </c>
      <c r="X57" s="81">
        <f t="shared" si="29"/>
        <v>0</v>
      </c>
      <c r="Y57" s="81">
        <f t="shared" si="10"/>
        <v>0</v>
      </c>
      <c r="Z57" s="81">
        <f t="shared" si="33"/>
        <v>0</v>
      </c>
      <c r="AA57" s="81">
        <f t="shared" si="12"/>
        <v>0</v>
      </c>
      <c r="AB57" s="81">
        <f t="shared" si="32"/>
        <v>0</v>
      </c>
      <c r="AC57" s="81">
        <f t="shared" si="14"/>
        <v>0</v>
      </c>
      <c r="AD57" s="81">
        <f t="shared" si="30"/>
        <v>0</v>
      </c>
      <c r="AE57" s="81">
        <f t="shared" si="15"/>
        <v>0</v>
      </c>
      <c r="AF57" s="81">
        <f t="shared" si="31"/>
        <v>0</v>
      </c>
      <c r="AG57" s="81">
        <f t="shared" si="16"/>
        <v>0</v>
      </c>
    </row>
    <row r="58" spans="1:33" ht="15.5" x14ac:dyDescent="0.35">
      <c r="A58" s="57">
        <v>46</v>
      </c>
      <c r="B58" s="80">
        <f t="shared" si="17"/>
        <v>0</v>
      </c>
      <c r="C58" s="81">
        <f t="shared" si="18"/>
        <v>0</v>
      </c>
      <c r="D58" s="81">
        <f t="shared" si="19"/>
        <v>0</v>
      </c>
      <c r="E58" s="81">
        <f t="shared" si="0"/>
        <v>0</v>
      </c>
      <c r="F58" s="81">
        <f t="shared" si="20"/>
        <v>0</v>
      </c>
      <c r="G58" s="81">
        <f t="shared" si="1"/>
        <v>0</v>
      </c>
      <c r="H58" s="81">
        <f t="shared" si="21"/>
        <v>0</v>
      </c>
      <c r="I58" s="81">
        <f t="shared" si="2"/>
        <v>0</v>
      </c>
      <c r="J58" s="81">
        <f t="shared" si="22"/>
        <v>0</v>
      </c>
      <c r="K58" s="81">
        <f t="shared" si="3"/>
        <v>0</v>
      </c>
      <c r="L58" s="81">
        <f t="shared" si="23"/>
        <v>0</v>
      </c>
      <c r="M58" s="81">
        <f t="shared" si="4"/>
        <v>0</v>
      </c>
      <c r="N58" s="81">
        <f t="shared" si="24"/>
        <v>0</v>
      </c>
      <c r="O58" s="81">
        <f t="shared" si="5"/>
        <v>0</v>
      </c>
      <c r="P58" s="81">
        <f t="shared" si="25"/>
        <v>0</v>
      </c>
      <c r="Q58" s="81">
        <f t="shared" si="6"/>
        <v>0</v>
      </c>
      <c r="R58" s="81">
        <f t="shared" si="26"/>
        <v>0</v>
      </c>
      <c r="S58" s="81">
        <f t="shared" si="7"/>
        <v>0</v>
      </c>
      <c r="T58" s="81">
        <f t="shared" si="27"/>
        <v>0</v>
      </c>
      <c r="U58" s="81">
        <f t="shared" si="8"/>
        <v>0</v>
      </c>
      <c r="V58" s="81">
        <f t="shared" si="28"/>
        <v>0</v>
      </c>
      <c r="W58" s="81">
        <f t="shared" si="9"/>
        <v>0</v>
      </c>
      <c r="X58" s="81">
        <f t="shared" si="29"/>
        <v>0</v>
      </c>
      <c r="Y58" s="81">
        <f t="shared" si="10"/>
        <v>0</v>
      </c>
      <c r="Z58" s="81">
        <f t="shared" si="33"/>
        <v>0</v>
      </c>
      <c r="AA58" s="81">
        <f t="shared" si="12"/>
        <v>0</v>
      </c>
      <c r="AB58" s="81">
        <f t="shared" si="32"/>
        <v>0</v>
      </c>
      <c r="AC58" s="81">
        <f t="shared" si="14"/>
        <v>0</v>
      </c>
      <c r="AD58" s="81">
        <f t="shared" si="30"/>
        <v>0</v>
      </c>
      <c r="AE58" s="81">
        <f t="shared" si="15"/>
        <v>0</v>
      </c>
      <c r="AF58" s="81">
        <f t="shared" si="31"/>
        <v>0</v>
      </c>
      <c r="AG58" s="81">
        <f t="shared" si="16"/>
        <v>0</v>
      </c>
    </row>
    <row r="59" spans="1:33" ht="15.5" x14ac:dyDescent="0.35">
      <c r="A59" s="57">
        <v>47</v>
      </c>
      <c r="B59" s="80">
        <f t="shared" si="17"/>
        <v>0</v>
      </c>
      <c r="C59" s="81">
        <f t="shared" si="18"/>
        <v>0</v>
      </c>
      <c r="D59" s="81">
        <f t="shared" si="19"/>
        <v>0</v>
      </c>
      <c r="E59" s="81">
        <f t="shared" si="0"/>
        <v>0</v>
      </c>
      <c r="F59" s="81">
        <f t="shared" si="20"/>
        <v>0</v>
      </c>
      <c r="G59" s="81">
        <f t="shared" si="1"/>
        <v>0</v>
      </c>
      <c r="H59" s="81">
        <f t="shared" si="21"/>
        <v>0</v>
      </c>
      <c r="I59" s="81">
        <f t="shared" si="2"/>
        <v>0</v>
      </c>
      <c r="J59" s="81">
        <f t="shared" si="22"/>
        <v>0</v>
      </c>
      <c r="K59" s="81">
        <f t="shared" si="3"/>
        <v>0</v>
      </c>
      <c r="L59" s="81">
        <f t="shared" si="23"/>
        <v>0</v>
      </c>
      <c r="M59" s="81">
        <f t="shared" si="4"/>
        <v>0</v>
      </c>
      <c r="N59" s="81">
        <f t="shared" si="24"/>
        <v>0</v>
      </c>
      <c r="O59" s="81">
        <f t="shared" si="5"/>
        <v>0</v>
      </c>
      <c r="P59" s="81">
        <f t="shared" si="25"/>
        <v>0</v>
      </c>
      <c r="Q59" s="81">
        <f t="shared" si="6"/>
        <v>0</v>
      </c>
      <c r="R59" s="81">
        <f t="shared" si="26"/>
        <v>0</v>
      </c>
      <c r="S59" s="81">
        <f t="shared" si="7"/>
        <v>0</v>
      </c>
      <c r="T59" s="81">
        <f t="shared" si="27"/>
        <v>0</v>
      </c>
      <c r="U59" s="81">
        <f t="shared" si="8"/>
        <v>0</v>
      </c>
      <c r="V59" s="81">
        <f t="shared" si="28"/>
        <v>0</v>
      </c>
      <c r="W59" s="81">
        <f t="shared" si="9"/>
        <v>0</v>
      </c>
      <c r="X59" s="81">
        <f t="shared" si="29"/>
        <v>0</v>
      </c>
      <c r="Y59" s="81">
        <f t="shared" si="10"/>
        <v>0</v>
      </c>
      <c r="Z59" s="81">
        <f t="shared" si="33"/>
        <v>0</v>
      </c>
      <c r="AA59" s="81">
        <f t="shared" si="12"/>
        <v>0</v>
      </c>
      <c r="AB59" s="81">
        <f t="shared" si="32"/>
        <v>0</v>
      </c>
      <c r="AC59" s="81">
        <f t="shared" si="14"/>
        <v>0</v>
      </c>
      <c r="AD59" s="81">
        <f t="shared" si="30"/>
        <v>0</v>
      </c>
      <c r="AE59" s="81">
        <f t="shared" si="15"/>
        <v>0</v>
      </c>
      <c r="AF59" s="81">
        <f t="shared" si="31"/>
        <v>0</v>
      </c>
      <c r="AG59" s="81">
        <f t="shared" si="16"/>
        <v>0</v>
      </c>
    </row>
    <row r="60" spans="1:33" ht="15.5" x14ac:dyDescent="0.35">
      <c r="A60" s="57">
        <v>48</v>
      </c>
      <c r="B60" s="80">
        <f t="shared" si="17"/>
        <v>0</v>
      </c>
      <c r="C60" s="81">
        <f t="shared" si="18"/>
        <v>0</v>
      </c>
      <c r="D60" s="81">
        <f t="shared" si="19"/>
        <v>0</v>
      </c>
      <c r="E60" s="81">
        <f t="shared" si="0"/>
        <v>0</v>
      </c>
      <c r="F60" s="81">
        <f t="shared" si="20"/>
        <v>0</v>
      </c>
      <c r="G60" s="81">
        <f t="shared" si="1"/>
        <v>0</v>
      </c>
      <c r="H60" s="81">
        <f t="shared" si="21"/>
        <v>0</v>
      </c>
      <c r="I60" s="81">
        <f t="shared" si="2"/>
        <v>0</v>
      </c>
      <c r="J60" s="81">
        <f t="shared" si="22"/>
        <v>0</v>
      </c>
      <c r="K60" s="81">
        <f t="shared" si="3"/>
        <v>0</v>
      </c>
      <c r="L60" s="81">
        <f t="shared" si="23"/>
        <v>0</v>
      </c>
      <c r="M60" s="81">
        <f t="shared" si="4"/>
        <v>0</v>
      </c>
      <c r="N60" s="81">
        <f t="shared" si="24"/>
        <v>0</v>
      </c>
      <c r="O60" s="81">
        <f t="shared" si="5"/>
        <v>0</v>
      </c>
      <c r="P60" s="81">
        <f t="shared" si="25"/>
        <v>0</v>
      </c>
      <c r="Q60" s="81">
        <f t="shared" si="6"/>
        <v>0</v>
      </c>
      <c r="R60" s="81">
        <f t="shared" si="26"/>
        <v>0</v>
      </c>
      <c r="S60" s="81">
        <f t="shared" si="7"/>
        <v>0</v>
      </c>
      <c r="T60" s="81">
        <f t="shared" si="27"/>
        <v>0</v>
      </c>
      <c r="U60" s="81">
        <f t="shared" si="8"/>
        <v>0</v>
      </c>
      <c r="V60" s="81">
        <f t="shared" si="28"/>
        <v>0</v>
      </c>
      <c r="W60" s="81">
        <f t="shared" si="9"/>
        <v>0</v>
      </c>
      <c r="X60" s="81">
        <f t="shared" si="29"/>
        <v>0</v>
      </c>
      <c r="Y60" s="81">
        <f t="shared" si="10"/>
        <v>0</v>
      </c>
      <c r="Z60" s="81">
        <f t="shared" si="33"/>
        <v>0</v>
      </c>
      <c r="AA60" s="81">
        <f t="shared" si="12"/>
        <v>0</v>
      </c>
      <c r="AB60" s="81">
        <f t="shared" si="32"/>
        <v>0</v>
      </c>
      <c r="AC60" s="81">
        <f t="shared" si="14"/>
        <v>0</v>
      </c>
      <c r="AD60" s="81">
        <f t="shared" si="30"/>
        <v>0</v>
      </c>
      <c r="AE60" s="81">
        <f t="shared" si="15"/>
        <v>0</v>
      </c>
      <c r="AF60" s="81">
        <f t="shared" si="31"/>
        <v>0</v>
      </c>
      <c r="AG60" s="81">
        <f t="shared" si="16"/>
        <v>0</v>
      </c>
    </row>
    <row r="61" spans="1:33" ht="15.5" x14ac:dyDescent="0.35">
      <c r="A61" s="57">
        <v>49</v>
      </c>
      <c r="B61" s="80">
        <f t="shared" si="17"/>
        <v>0</v>
      </c>
      <c r="C61" s="81">
        <f t="shared" si="18"/>
        <v>0</v>
      </c>
      <c r="D61" s="81">
        <f t="shared" si="19"/>
        <v>0</v>
      </c>
      <c r="E61" s="81">
        <f t="shared" si="0"/>
        <v>0</v>
      </c>
      <c r="F61" s="81">
        <f t="shared" si="20"/>
        <v>0</v>
      </c>
      <c r="G61" s="81">
        <f t="shared" si="1"/>
        <v>0</v>
      </c>
      <c r="H61" s="81">
        <f t="shared" si="21"/>
        <v>0</v>
      </c>
      <c r="I61" s="81">
        <f t="shared" si="2"/>
        <v>0</v>
      </c>
      <c r="J61" s="81">
        <f t="shared" si="22"/>
        <v>0</v>
      </c>
      <c r="K61" s="81">
        <f t="shared" si="3"/>
        <v>0</v>
      </c>
      <c r="L61" s="81">
        <f t="shared" si="23"/>
        <v>0</v>
      </c>
      <c r="M61" s="81">
        <f t="shared" si="4"/>
        <v>0</v>
      </c>
      <c r="N61" s="81">
        <f t="shared" si="24"/>
        <v>0</v>
      </c>
      <c r="O61" s="81">
        <f t="shared" si="5"/>
        <v>0</v>
      </c>
      <c r="P61" s="81">
        <f t="shared" si="25"/>
        <v>0</v>
      </c>
      <c r="Q61" s="81">
        <f t="shared" si="6"/>
        <v>0</v>
      </c>
      <c r="R61" s="81">
        <f t="shared" si="26"/>
        <v>0</v>
      </c>
      <c r="S61" s="81">
        <f t="shared" si="7"/>
        <v>0</v>
      </c>
      <c r="T61" s="81">
        <f t="shared" si="27"/>
        <v>0</v>
      </c>
      <c r="U61" s="81">
        <f t="shared" si="8"/>
        <v>0</v>
      </c>
      <c r="V61" s="81">
        <f t="shared" si="28"/>
        <v>0</v>
      </c>
      <c r="W61" s="81">
        <f t="shared" si="9"/>
        <v>0</v>
      </c>
      <c r="X61" s="81">
        <f t="shared" si="29"/>
        <v>0</v>
      </c>
      <c r="Y61" s="81">
        <f t="shared" si="10"/>
        <v>0</v>
      </c>
      <c r="Z61" s="81">
        <f t="shared" si="33"/>
        <v>0</v>
      </c>
      <c r="AA61" s="81">
        <f t="shared" si="12"/>
        <v>0</v>
      </c>
      <c r="AB61" s="81">
        <f t="shared" si="32"/>
        <v>0</v>
      </c>
      <c r="AC61" s="81">
        <f t="shared" si="14"/>
        <v>0</v>
      </c>
      <c r="AD61" s="81">
        <f t="shared" si="30"/>
        <v>0</v>
      </c>
      <c r="AE61" s="81">
        <f t="shared" si="15"/>
        <v>0</v>
      </c>
      <c r="AF61" s="81">
        <f t="shared" si="31"/>
        <v>0</v>
      </c>
      <c r="AG61" s="81">
        <f t="shared" si="16"/>
        <v>0</v>
      </c>
    </row>
    <row r="62" spans="1:33" ht="15.5" x14ac:dyDescent="0.35">
      <c r="A62" s="57">
        <v>50</v>
      </c>
      <c r="B62" s="80">
        <f t="shared" si="17"/>
        <v>0</v>
      </c>
      <c r="C62" s="81">
        <f t="shared" si="18"/>
        <v>0</v>
      </c>
      <c r="D62" s="81">
        <f t="shared" si="19"/>
        <v>0</v>
      </c>
      <c r="E62" s="81">
        <f t="shared" si="0"/>
        <v>0</v>
      </c>
      <c r="F62" s="81">
        <f t="shared" si="20"/>
        <v>0</v>
      </c>
      <c r="G62" s="81">
        <f t="shared" si="1"/>
        <v>0</v>
      </c>
      <c r="H62" s="81">
        <f t="shared" si="21"/>
        <v>0</v>
      </c>
      <c r="I62" s="81">
        <f t="shared" si="2"/>
        <v>0</v>
      </c>
      <c r="J62" s="81">
        <f t="shared" si="22"/>
        <v>0</v>
      </c>
      <c r="K62" s="81">
        <f t="shared" si="3"/>
        <v>0</v>
      </c>
      <c r="L62" s="81">
        <f t="shared" si="23"/>
        <v>0</v>
      </c>
      <c r="M62" s="81">
        <f t="shared" si="4"/>
        <v>0</v>
      </c>
      <c r="N62" s="81">
        <f t="shared" si="24"/>
        <v>0</v>
      </c>
      <c r="O62" s="81">
        <f t="shared" si="5"/>
        <v>0</v>
      </c>
      <c r="P62" s="81">
        <f t="shared" si="25"/>
        <v>0</v>
      </c>
      <c r="Q62" s="81">
        <f t="shared" si="6"/>
        <v>0</v>
      </c>
      <c r="R62" s="81">
        <f t="shared" si="26"/>
        <v>0</v>
      </c>
      <c r="S62" s="81">
        <f t="shared" si="7"/>
        <v>0</v>
      </c>
      <c r="T62" s="81">
        <f t="shared" si="27"/>
        <v>0</v>
      </c>
      <c r="U62" s="81">
        <f t="shared" si="8"/>
        <v>0</v>
      </c>
      <c r="V62" s="81">
        <f t="shared" si="28"/>
        <v>0</v>
      </c>
      <c r="W62" s="81">
        <f t="shared" si="9"/>
        <v>0</v>
      </c>
      <c r="X62" s="81">
        <f t="shared" si="29"/>
        <v>0</v>
      </c>
      <c r="Y62" s="81">
        <f t="shared" si="10"/>
        <v>0</v>
      </c>
      <c r="Z62" s="81">
        <f t="shared" si="33"/>
        <v>0</v>
      </c>
      <c r="AA62" s="81">
        <f t="shared" si="12"/>
        <v>0</v>
      </c>
      <c r="AB62" s="81">
        <f t="shared" si="32"/>
        <v>0</v>
      </c>
      <c r="AC62" s="81">
        <f t="shared" si="14"/>
        <v>0</v>
      </c>
      <c r="AD62" s="81">
        <f t="shared" si="30"/>
        <v>0</v>
      </c>
      <c r="AE62" s="81">
        <f t="shared" si="15"/>
        <v>0</v>
      </c>
      <c r="AF62" s="81">
        <f t="shared" si="31"/>
        <v>0</v>
      </c>
      <c r="AG62" s="81">
        <f t="shared" si="16"/>
        <v>0</v>
      </c>
    </row>
    <row r="63" spans="1:33" ht="15.5" x14ac:dyDescent="0.35">
      <c r="A63" s="57">
        <v>51</v>
      </c>
      <c r="B63" s="80">
        <f t="shared" si="17"/>
        <v>0</v>
      </c>
      <c r="C63" s="81">
        <f t="shared" si="18"/>
        <v>0</v>
      </c>
      <c r="D63" s="81">
        <f t="shared" si="19"/>
        <v>0</v>
      </c>
      <c r="E63" s="81">
        <f t="shared" si="0"/>
        <v>0</v>
      </c>
      <c r="F63" s="81">
        <f t="shared" si="20"/>
        <v>0</v>
      </c>
      <c r="G63" s="81">
        <f t="shared" si="1"/>
        <v>0</v>
      </c>
      <c r="H63" s="81">
        <f t="shared" si="21"/>
        <v>0</v>
      </c>
      <c r="I63" s="81">
        <f t="shared" si="2"/>
        <v>0</v>
      </c>
      <c r="J63" s="81">
        <f t="shared" si="22"/>
        <v>0</v>
      </c>
      <c r="K63" s="81">
        <f t="shared" si="3"/>
        <v>0</v>
      </c>
      <c r="L63" s="81">
        <f t="shared" si="23"/>
        <v>0</v>
      </c>
      <c r="M63" s="81">
        <f t="shared" si="4"/>
        <v>0</v>
      </c>
      <c r="N63" s="81">
        <f t="shared" si="24"/>
        <v>0</v>
      </c>
      <c r="O63" s="81">
        <f t="shared" si="5"/>
        <v>0</v>
      </c>
      <c r="P63" s="81">
        <f t="shared" si="25"/>
        <v>0</v>
      </c>
      <c r="Q63" s="81">
        <f t="shared" si="6"/>
        <v>0</v>
      </c>
      <c r="R63" s="81">
        <f t="shared" si="26"/>
        <v>0</v>
      </c>
      <c r="S63" s="81">
        <f t="shared" si="7"/>
        <v>0</v>
      </c>
      <c r="T63" s="81">
        <f t="shared" si="27"/>
        <v>0</v>
      </c>
      <c r="U63" s="81">
        <f t="shared" si="8"/>
        <v>0</v>
      </c>
      <c r="V63" s="81">
        <f t="shared" si="28"/>
        <v>0</v>
      </c>
      <c r="W63" s="81">
        <f t="shared" si="9"/>
        <v>0</v>
      </c>
      <c r="X63" s="81">
        <f t="shared" si="29"/>
        <v>0</v>
      </c>
      <c r="Y63" s="81">
        <f t="shared" si="10"/>
        <v>0</v>
      </c>
      <c r="Z63" s="81">
        <f t="shared" si="33"/>
        <v>0</v>
      </c>
      <c r="AA63" s="81">
        <f t="shared" si="12"/>
        <v>0</v>
      </c>
      <c r="AB63" s="81">
        <f t="shared" si="32"/>
        <v>0</v>
      </c>
      <c r="AC63" s="81">
        <f t="shared" si="14"/>
        <v>0</v>
      </c>
      <c r="AD63" s="81">
        <f t="shared" si="30"/>
        <v>0</v>
      </c>
      <c r="AE63" s="81">
        <f t="shared" si="15"/>
        <v>0</v>
      </c>
      <c r="AF63" s="81">
        <f t="shared" si="31"/>
        <v>0</v>
      </c>
      <c r="AG63" s="81">
        <f t="shared" si="16"/>
        <v>0</v>
      </c>
    </row>
    <row r="64" spans="1:33" ht="15.5" x14ac:dyDescent="0.35">
      <c r="A64" s="57">
        <v>52</v>
      </c>
      <c r="B64" s="80">
        <f t="shared" si="17"/>
        <v>0</v>
      </c>
      <c r="C64" s="81">
        <f t="shared" si="18"/>
        <v>0</v>
      </c>
      <c r="D64" s="81">
        <f t="shared" si="19"/>
        <v>0</v>
      </c>
      <c r="E64" s="81">
        <f t="shared" si="0"/>
        <v>0</v>
      </c>
      <c r="F64" s="81">
        <f t="shared" si="20"/>
        <v>0</v>
      </c>
      <c r="G64" s="81">
        <f t="shared" si="1"/>
        <v>0</v>
      </c>
      <c r="H64" s="81">
        <f t="shared" si="21"/>
        <v>0</v>
      </c>
      <c r="I64" s="81">
        <f t="shared" si="2"/>
        <v>0</v>
      </c>
      <c r="J64" s="81">
        <f t="shared" si="22"/>
        <v>0</v>
      </c>
      <c r="K64" s="81">
        <f t="shared" si="3"/>
        <v>0</v>
      </c>
      <c r="L64" s="81">
        <f t="shared" si="23"/>
        <v>0</v>
      </c>
      <c r="M64" s="81">
        <f t="shared" si="4"/>
        <v>0</v>
      </c>
      <c r="N64" s="81">
        <f t="shared" si="24"/>
        <v>0</v>
      </c>
      <c r="O64" s="81">
        <f t="shared" si="5"/>
        <v>0</v>
      </c>
      <c r="P64" s="81">
        <f t="shared" si="25"/>
        <v>0</v>
      </c>
      <c r="Q64" s="81">
        <f t="shared" si="6"/>
        <v>0</v>
      </c>
      <c r="R64" s="81">
        <f t="shared" si="26"/>
        <v>0</v>
      </c>
      <c r="S64" s="81">
        <f t="shared" si="7"/>
        <v>0</v>
      </c>
      <c r="T64" s="81">
        <f t="shared" si="27"/>
        <v>0</v>
      </c>
      <c r="U64" s="81">
        <f t="shared" si="8"/>
        <v>0</v>
      </c>
      <c r="V64" s="81">
        <f t="shared" si="28"/>
        <v>0</v>
      </c>
      <c r="W64" s="81">
        <f t="shared" si="9"/>
        <v>0</v>
      </c>
      <c r="X64" s="81">
        <f t="shared" si="29"/>
        <v>0</v>
      </c>
      <c r="Y64" s="81">
        <f t="shared" si="10"/>
        <v>0</v>
      </c>
      <c r="Z64" s="81">
        <f t="shared" si="33"/>
        <v>0</v>
      </c>
      <c r="AA64" s="81">
        <f t="shared" si="12"/>
        <v>0</v>
      </c>
      <c r="AB64" s="81">
        <f t="shared" si="32"/>
        <v>0</v>
      </c>
      <c r="AC64" s="81">
        <f t="shared" si="14"/>
        <v>0</v>
      </c>
      <c r="AD64" s="81">
        <f t="shared" si="30"/>
        <v>0</v>
      </c>
      <c r="AE64" s="81">
        <f t="shared" si="15"/>
        <v>0</v>
      </c>
      <c r="AF64" s="81">
        <f t="shared" si="31"/>
        <v>0</v>
      </c>
      <c r="AG64" s="81">
        <f t="shared" si="16"/>
        <v>0</v>
      </c>
    </row>
    <row r="65" spans="1:33" ht="15.5" x14ac:dyDescent="0.35">
      <c r="A65" s="57">
        <v>53</v>
      </c>
      <c r="B65" s="80">
        <f t="shared" si="17"/>
        <v>0</v>
      </c>
      <c r="C65" s="81">
        <f t="shared" si="18"/>
        <v>0</v>
      </c>
      <c r="D65" s="81">
        <f t="shared" si="19"/>
        <v>0</v>
      </c>
      <c r="E65" s="81">
        <f t="shared" si="0"/>
        <v>0</v>
      </c>
      <c r="F65" s="81">
        <f t="shared" si="20"/>
        <v>0</v>
      </c>
      <c r="G65" s="81">
        <f t="shared" si="1"/>
        <v>0</v>
      </c>
      <c r="H65" s="81">
        <f t="shared" si="21"/>
        <v>0</v>
      </c>
      <c r="I65" s="81">
        <f t="shared" si="2"/>
        <v>0</v>
      </c>
      <c r="J65" s="81">
        <f t="shared" si="22"/>
        <v>0</v>
      </c>
      <c r="K65" s="81">
        <f t="shared" si="3"/>
        <v>0</v>
      </c>
      <c r="L65" s="81">
        <f t="shared" si="23"/>
        <v>0</v>
      </c>
      <c r="M65" s="81">
        <f t="shared" si="4"/>
        <v>0</v>
      </c>
      <c r="N65" s="81">
        <f t="shared" si="24"/>
        <v>0</v>
      </c>
      <c r="O65" s="81">
        <f t="shared" si="5"/>
        <v>0</v>
      </c>
      <c r="P65" s="81">
        <f t="shared" si="25"/>
        <v>0</v>
      </c>
      <c r="Q65" s="81">
        <f t="shared" si="6"/>
        <v>0</v>
      </c>
      <c r="R65" s="81">
        <f t="shared" si="26"/>
        <v>0</v>
      </c>
      <c r="S65" s="81">
        <f t="shared" si="7"/>
        <v>0</v>
      </c>
      <c r="T65" s="81">
        <f t="shared" si="27"/>
        <v>0</v>
      </c>
      <c r="U65" s="81">
        <f t="shared" si="8"/>
        <v>0</v>
      </c>
      <c r="V65" s="81">
        <f t="shared" si="28"/>
        <v>0</v>
      </c>
      <c r="W65" s="81">
        <f t="shared" si="9"/>
        <v>0</v>
      </c>
      <c r="X65" s="81">
        <f t="shared" si="29"/>
        <v>0</v>
      </c>
      <c r="Y65" s="81">
        <f t="shared" si="10"/>
        <v>0</v>
      </c>
      <c r="Z65" s="81">
        <f t="shared" si="33"/>
        <v>0</v>
      </c>
      <c r="AA65" s="81">
        <f t="shared" si="12"/>
        <v>0</v>
      </c>
      <c r="AB65" s="81">
        <f t="shared" si="32"/>
        <v>0</v>
      </c>
      <c r="AC65" s="81">
        <f t="shared" si="14"/>
        <v>0</v>
      </c>
      <c r="AD65" s="81">
        <f t="shared" si="30"/>
        <v>0</v>
      </c>
      <c r="AE65" s="81">
        <f t="shared" si="15"/>
        <v>0</v>
      </c>
      <c r="AF65" s="81">
        <f t="shared" si="31"/>
        <v>0</v>
      </c>
      <c r="AG65" s="81">
        <f t="shared" si="16"/>
        <v>0</v>
      </c>
    </row>
    <row r="66" spans="1:33" ht="15.5" x14ac:dyDescent="0.35">
      <c r="A66" s="57">
        <v>54</v>
      </c>
      <c r="B66" s="80">
        <f t="shared" si="17"/>
        <v>0</v>
      </c>
      <c r="C66" s="81">
        <f t="shared" si="18"/>
        <v>0</v>
      </c>
      <c r="D66" s="81">
        <f t="shared" si="19"/>
        <v>0</v>
      </c>
      <c r="E66" s="81">
        <f t="shared" si="0"/>
        <v>0</v>
      </c>
      <c r="F66" s="81">
        <f t="shared" si="20"/>
        <v>0</v>
      </c>
      <c r="G66" s="81">
        <f t="shared" si="1"/>
        <v>0</v>
      </c>
      <c r="H66" s="81">
        <f t="shared" si="21"/>
        <v>0</v>
      </c>
      <c r="I66" s="81">
        <f t="shared" si="2"/>
        <v>0</v>
      </c>
      <c r="J66" s="81">
        <f t="shared" si="22"/>
        <v>0</v>
      </c>
      <c r="K66" s="81">
        <f t="shared" si="3"/>
        <v>0</v>
      </c>
      <c r="L66" s="81">
        <f t="shared" si="23"/>
        <v>0</v>
      </c>
      <c r="M66" s="81">
        <f t="shared" si="4"/>
        <v>0</v>
      </c>
      <c r="N66" s="81">
        <f t="shared" si="24"/>
        <v>0</v>
      </c>
      <c r="O66" s="81">
        <f t="shared" si="5"/>
        <v>0</v>
      </c>
      <c r="P66" s="81">
        <f t="shared" si="25"/>
        <v>0</v>
      </c>
      <c r="Q66" s="81">
        <f t="shared" si="6"/>
        <v>0</v>
      </c>
      <c r="R66" s="81">
        <f t="shared" si="26"/>
        <v>0</v>
      </c>
      <c r="S66" s="81">
        <f t="shared" si="7"/>
        <v>0</v>
      </c>
      <c r="T66" s="81">
        <f t="shared" si="27"/>
        <v>0</v>
      </c>
      <c r="U66" s="81">
        <f t="shared" si="8"/>
        <v>0</v>
      </c>
      <c r="V66" s="81">
        <f t="shared" si="28"/>
        <v>0</v>
      </c>
      <c r="W66" s="81">
        <f t="shared" si="9"/>
        <v>0</v>
      </c>
      <c r="X66" s="81">
        <f t="shared" si="29"/>
        <v>0</v>
      </c>
      <c r="Y66" s="81">
        <f t="shared" si="10"/>
        <v>0</v>
      </c>
      <c r="Z66" s="81">
        <f t="shared" si="33"/>
        <v>0</v>
      </c>
      <c r="AA66" s="81">
        <f t="shared" si="12"/>
        <v>0</v>
      </c>
      <c r="AB66" s="81">
        <f t="shared" si="32"/>
        <v>0</v>
      </c>
      <c r="AC66" s="81">
        <f t="shared" si="14"/>
        <v>0</v>
      </c>
      <c r="AD66" s="81">
        <f t="shared" si="30"/>
        <v>0</v>
      </c>
      <c r="AE66" s="81">
        <f t="shared" si="15"/>
        <v>0</v>
      </c>
      <c r="AF66" s="81">
        <f t="shared" si="31"/>
        <v>0</v>
      </c>
      <c r="AG66" s="81">
        <f t="shared" si="16"/>
        <v>0</v>
      </c>
    </row>
    <row r="67" spans="1:33" ht="15.5" x14ac:dyDescent="0.35">
      <c r="A67" s="57">
        <v>55</v>
      </c>
      <c r="B67" s="80">
        <f t="shared" si="17"/>
        <v>0</v>
      </c>
      <c r="C67" s="81">
        <f t="shared" si="18"/>
        <v>0</v>
      </c>
      <c r="D67" s="81">
        <f t="shared" si="19"/>
        <v>0</v>
      </c>
      <c r="E67" s="81">
        <f t="shared" si="0"/>
        <v>0</v>
      </c>
      <c r="F67" s="81">
        <f t="shared" si="20"/>
        <v>0</v>
      </c>
      <c r="G67" s="81">
        <f t="shared" si="1"/>
        <v>0</v>
      </c>
      <c r="H67" s="81">
        <f t="shared" si="21"/>
        <v>0</v>
      </c>
      <c r="I67" s="81">
        <f t="shared" si="2"/>
        <v>0</v>
      </c>
      <c r="J67" s="81">
        <f t="shared" si="22"/>
        <v>0</v>
      </c>
      <c r="K67" s="81">
        <f t="shared" si="3"/>
        <v>0</v>
      </c>
      <c r="L67" s="81">
        <f t="shared" si="23"/>
        <v>0</v>
      </c>
      <c r="M67" s="81">
        <f t="shared" si="4"/>
        <v>0</v>
      </c>
      <c r="N67" s="81">
        <f t="shared" si="24"/>
        <v>0</v>
      </c>
      <c r="O67" s="81">
        <f t="shared" si="5"/>
        <v>0</v>
      </c>
      <c r="P67" s="81">
        <f t="shared" si="25"/>
        <v>0</v>
      </c>
      <c r="Q67" s="81">
        <f t="shared" si="6"/>
        <v>0</v>
      </c>
      <c r="R67" s="81">
        <f t="shared" si="26"/>
        <v>0</v>
      </c>
      <c r="S67" s="81">
        <f t="shared" si="7"/>
        <v>0</v>
      </c>
      <c r="T67" s="81">
        <f t="shared" si="27"/>
        <v>0</v>
      </c>
      <c r="U67" s="81">
        <f t="shared" si="8"/>
        <v>0</v>
      </c>
      <c r="V67" s="81">
        <f t="shared" si="28"/>
        <v>0</v>
      </c>
      <c r="W67" s="81">
        <f t="shared" si="9"/>
        <v>0</v>
      </c>
      <c r="X67" s="81">
        <f t="shared" si="29"/>
        <v>0</v>
      </c>
      <c r="Y67" s="81">
        <f t="shared" si="10"/>
        <v>0</v>
      </c>
      <c r="Z67" s="81">
        <f t="shared" si="33"/>
        <v>0</v>
      </c>
      <c r="AA67" s="81">
        <f t="shared" si="12"/>
        <v>0</v>
      </c>
      <c r="AB67" s="81">
        <f t="shared" si="32"/>
        <v>0</v>
      </c>
      <c r="AC67" s="81">
        <f t="shared" si="14"/>
        <v>0</v>
      </c>
      <c r="AD67" s="81">
        <f t="shared" si="30"/>
        <v>0</v>
      </c>
      <c r="AE67" s="81">
        <f t="shared" si="15"/>
        <v>0</v>
      </c>
      <c r="AF67" s="81">
        <f t="shared" si="31"/>
        <v>0</v>
      </c>
      <c r="AG67" s="81">
        <f t="shared" si="16"/>
        <v>0</v>
      </c>
    </row>
    <row r="68" spans="1:33" ht="15.5" x14ac:dyDescent="0.35">
      <c r="A68" s="57">
        <v>56</v>
      </c>
      <c r="B68" s="80">
        <f t="shared" si="17"/>
        <v>0</v>
      </c>
      <c r="C68" s="81">
        <f t="shared" si="18"/>
        <v>0</v>
      </c>
      <c r="D68" s="81">
        <f t="shared" si="19"/>
        <v>0</v>
      </c>
      <c r="E68" s="81">
        <f t="shared" si="0"/>
        <v>0</v>
      </c>
      <c r="F68" s="81">
        <f t="shared" si="20"/>
        <v>0</v>
      </c>
      <c r="G68" s="81">
        <f t="shared" si="1"/>
        <v>0</v>
      </c>
      <c r="H68" s="81">
        <f t="shared" si="21"/>
        <v>0</v>
      </c>
      <c r="I68" s="81">
        <f t="shared" si="2"/>
        <v>0</v>
      </c>
      <c r="J68" s="81">
        <f t="shared" si="22"/>
        <v>0</v>
      </c>
      <c r="K68" s="81">
        <f t="shared" si="3"/>
        <v>0</v>
      </c>
      <c r="L68" s="81">
        <f t="shared" si="23"/>
        <v>0</v>
      </c>
      <c r="M68" s="81">
        <f t="shared" si="4"/>
        <v>0</v>
      </c>
      <c r="N68" s="81">
        <f t="shared" si="24"/>
        <v>0</v>
      </c>
      <c r="O68" s="81">
        <f t="shared" si="5"/>
        <v>0</v>
      </c>
      <c r="P68" s="81">
        <f t="shared" si="25"/>
        <v>0</v>
      </c>
      <c r="Q68" s="81">
        <f t="shared" si="6"/>
        <v>0</v>
      </c>
      <c r="R68" s="81">
        <f t="shared" si="26"/>
        <v>0</v>
      </c>
      <c r="S68" s="81">
        <f t="shared" si="7"/>
        <v>0</v>
      </c>
      <c r="T68" s="81">
        <f t="shared" si="27"/>
        <v>0</v>
      </c>
      <c r="U68" s="81">
        <f t="shared" si="8"/>
        <v>0</v>
      </c>
      <c r="V68" s="81">
        <f t="shared" si="28"/>
        <v>0</v>
      </c>
      <c r="W68" s="81">
        <f t="shared" si="9"/>
        <v>0</v>
      </c>
      <c r="X68" s="81">
        <f t="shared" si="29"/>
        <v>0</v>
      </c>
      <c r="Y68" s="81">
        <f t="shared" si="10"/>
        <v>0</v>
      </c>
      <c r="Z68" s="81">
        <f t="shared" si="33"/>
        <v>0</v>
      </c>
      <c r="AA68" s="81">
        <f t="shared" si="12"/>
        <v>0</v>
      </c>
      <c r="AB68" s="81">
        <f t="shared" si="32"/>
        <v>0</v>
      </c>
      <c r="AC68" s="81">
        <f t="shared" si="14"/>
        <v>0</v>
      </c>
      <c r="AD68" s="81">
        <f t="shared" si="30"/>
        <v>0</v>
      </c>
      <c r="AE68" s="81">
        <f t="shared" si="15"/>
        <v>0</v>
      </c>
      <c r="AF68" s="81">
        <f t="shared" si="31"/>
        <v>0</v>
      </c>
      <c r="AG68" s="81">
        <f t="shared" si="16"/>
        <v>0</v>
      </c>
    </row>
    <row r="69" spans="1:33" ht="15.5" x14ac:dyDescent="0.35">
      <c r="A69" s="57">
        <v>57</v>
      </c>
      <c r="B69" s="80">
        <f t="shared" si="17"/>
        <v>0</v>
      </c>
      <c r="C69" s="81">
        <f t="shared" si="18"/>
        <v>0</v>
      </c>
      <c r="D69" s="81">
        <f t="shared" si="19"/>
        <v>0</v>
      </c>
      <c r="E69" s="81">
        <f t="shared" si="0"/>
        <v>0</v>
      </c>
      <c r="F69" s="81">
        <f t="shared" si="20"/>
        <v>0</v>
      </c>
      <c r="G69" s="81">
        <f t="shared" si="1"/>
        <v>0</v>
      </c>
      <c r="H69" s="81">
        <f t="shared" si="21"/>
        <v>0</v>
      </c>
      <c r="I69" s="81">
        <f t="shared" si="2"/>
        <v>0</v>
      </c>
      <c r="J69" s="81">
        <f t="shared" si="22"/>
        <v>0</v>
      </c>
      <c r="K69" s="81">
        <f t="shared" si="3"/>
        <v>0</v>
      </c>
      <c r="L69" s="81">
        <f t="shared" si="23"/>
        <v>0</v>
      </c>
      <c r="M69" s="81">
        <f t="shared" si="4"/>
        <v>0</v>
      </c>
      <c r="N69" s="81">
        <f t="shared" si="24"/>
        <v>0</v>
      </c>
      <c r="O69" s="81">
        <f t="shared" si="5"/>
        <v>0</v>
      </c>
      <c r="P69" s="81">
        <f t="shared" si="25"/>
        <v>0</v>
      </c>
      <c r="Q69" s="81">
        <f t="shared" si="6"/>
        <v>0</v>
      </c>
      <c r="R69" s="81">
        <f t="shared" si="26"/>
        <v>0</v>
      </c>
      <c r="S69" s="81">
        <f t="shared" si="7"/>
        <v>0</v>
      </c>
      <c r="T69" s="81">
        <f t="shared" si="27"/>
        <v>0</v>
      </c>
      <c r="U69" s="81">
        <f t="shared" si="8"/>
        <v>0</v>
      </c>
      <c r="V69" s="81">
        <f t="shared" si="28"/>
        <v>0</v>
      </c>
      <c r="W69" s="81">
        <f t="shared" si="9"/>
        <v>0</v>
      </c>
      <c r="X69" s="81">
        <f t="shared" si="29"/>
        <v>0</v>
      </c>
      <c r="Y69" s="81">
        <f t="shared" si="10"/>
        <v>0</v>
      </c>
      <c r="Z69" s="81">
        <f t="shared" si="33"/>
        <v>0</v>
      </c>
      <c r="AA69" s="81">
        <f t="shared" si="12"/>
        <v>0</v>
      </c>
      <c r="AB69" s="81">
        <f t="shared" si="32"/>
        <v>0</v>
      </c>
      <c r="AC69" s="81">
        <f t="shared" si="14"/>
        <v>0</v>
      </c>
      <c r="AD69" s="81">
        <f t="shared" si="30"/>
        <v>0</v>
      </c>
      <c r="AE69" s="81">
        <f t="shared" si="15"/>
        <v>0</v>
      </c>
      <c r="AF69" s="81">
        <f t="shared" si="31"/>
        <v>0</v>
      </c>
      <c r="AG69" s="81">
        <f t="shared" si="16"/>
        <v>0</v>
      </c>
    </row>
    <row r="70" spans="1:33" ht="15.5" x14ac:dyDescent="0.35">
      <c r="A70" s="57">
        <v>58</v>
      </c>
      <c r="B70" s="80">
        <f t="shared" si="17"/>
        <v>0</v>
      </c>
      <c r="C70" s="81">
        <f t="shared" si="18"/>
        <v>0</v>
      </c>
      <c r="D70" s="81">
        <f t="shared" si="19"/>
        <v>0</v>
      </c>
      <c r="E70" s="81">
        <f t="shared" si="0"/>
        <v>0</v>
      </c>
      <c r="F70" s="81">
        <f t="shared" si="20"/>
        <v>0</v>
      </c>
      <c r="G70" s="81">
        <f t="shared" si="1"/>
        <v>0</v>
      </c>
      <c r="H70" s="81">
        <f t="shared" si="21"/>
        <v>0</v>
      </c>
      <c r="I70" s="81">
        <f t="shared" si="2"/>
        <v>0</v>
      </c>
      <c r="J70" s="81">
        <f t="shared" si="22"/>
        <v>0</v>
      </c>
      <c r="K70" s="81">
        <f t="shared" si="3"/>
        <v>0</v>
      </c>
      <c r="L70" s="81">
        <f t="shared" si="23"/>
        <v>0</v>
      </c>
      <c r="M70" s="81">
        <f t="shared" si="4"/>
        <v>0</v>
      </c>
      <c r="N70" s="81">
        <f t="shared" si="24"/>
        <v>0</v>
      </c>
      <c r="O70" s="81">
        <f t="shared" si="5"/>
        <v>0</v>
      </c>
      <c r="P70" s="81">
        <f t="shared" si="25"/>
        <v>0</v>
      </c>
      <c r="Q70" s="81">
        <f t="shared" si="6"/>
        <v>0</v>
      </c>
      <c r="R70" s="81">
        <f t="shared" si="26"/>
        <v>0</v>
      </c>
      <c r="S70" s="81">
        <f t="shared" si="7"/>
        <v>0</v>
      </c>
      <c r="T70" s="81">
        <f t="shared" si="27"/>
        <v>0</v>
      </c>
      <c r="U70" s="81">
        <f t="shared" si="8"/>
        <v>0</v>
      </c>
      <c r="V70" s="81">
        <f t="shared" si="28"/>
        <v>0</v>
      </c>
      <c r="W70" s="81">
        <f t="shared" si="9"/>
        <v>0</v>
      </c>
      <c r="X70" s="81">
        <f t="shared" si="29"/>
        <v>0</v>
      </c>
      <c r="Y70" s="81">
        <f t="shared" si="10"/>
        <v>0</v>
      </c>
      <c r="Z70" s="81">
        <f t="shared" si="33"/>
        <v>0</v>
      </c>
      <c r="AA70" s="81">
        <f t="shared" si="12"/>
        <v>0</v>
      </c>
      <c r="AB70" s="81">
        <f t="shared" si="32"/>
        <v>0</v>
      </c>
      <c r="AC70" s="81">
        <f t="shared" si="14"/>
        <v>0</v>
      </c>
      <c r="AD70" s="81">
        <f t="shared" si="30"/>
        <v>0</v>
      </c>
      <c r="AE70" s="81">
        <f t="shared" si="15"/>
        <v>0</v>
      </c>
      <c r="AF70" s="81">
        <f t="shared" si="31"/>
        <v>0</v>
      </c>
      <c r="AG70" s="81">
        <f t="shared" si="16"/>
        <v>0</v>
      </c>
    </row>
    <row r="71" spans="1:33" ht="15.5" x14ac:dyDescent="0.35">
      <c r="A71" s="57">
        <v>59</v>
      </c>
      <c r="B71" s="80">
        <f t="shared" si="17"/>
        <v>0</v>
      </c>
      <c r="C71" s="81">
        <f t="shared" si="18"/>
        <v>0</v>
      </c>
      <c r="D71" s="81">
        <f t="shared" si="19"/>
        <v>0</v>
      </c>
      <c r="E71" s="81">
        <f t="shared" si="0"/>
        <v>0</v>
      </c>
      <c r="F71" s="81">
        <f t="shared" si="20"/>
        <v>0</v>
      </c>
      <c r="G71" s="81">
        <f t="shared" si="1"/>
        <v>0</v>
      </c>
      <c r="H71" s="81">
        <f t="shared" si="21"/>
        <v>0</v>
      </c>
      <c r="I71" s="81">
        <f t="shared" si="2"/>
        <v>0</v>
      </c>
      <c r="J71" s="81">
        <f t="shared" si="22"/>
        <v>0</v>
      </c>
      <c r="K71" s="81">
        <f t="shared" si="3"/>
        <v>0</v>
      </c>
      <c r="L71" s="81">
        <f t="shared" si="23"/>
        <v>0</v>
      </c>
      <c r="M71" s="81">
        <f t="shared" si="4"/>
        <v>0</v>
      </c>
      <c r="N71" s="81">
        <f t="shared" si="24"/>
        <v>0</v>
      </c>
      <c r="O71" s="81">
        <f t="shared" si="5"/>
        <v>0</v>
      </c>
      <c r="P71" s="81">
        <f t="shared" si="25"/>
        <v>0</v>
      </c>
      <c r="Q71" s="81">
        <f t="shared" si="6"/>
        <v>0</v>
      </c>
      <c r="R71" s="81">
        <f t="shared" si="26"/>
        <v>0</v>
      </c>
      <c r="S71" s="81">
        <f t="shared" si="7"/>
        <v>0</v>
      </c>
      <c r="T71" s="81">
        <f t="shared" si="27"/>
        <v>0</v>
      </c>
      <c r="U71" s="81">
        <f t="shared" si="8"/>
        <v>0</v>
      </c>
      <c r="V71" s="81">
        <f t="shared" si="28"/>
        <v>0</v>
      </c>
      <c r="W71" s="81">
        <f t="shared" si="9"/>
        <v>0</v>
      </c>
      <c r="X71" s="81">
        <f t="shared" si="29"/>
        <v>0</v>
      </c>
      <c r="Y71" s="81">
        <f t="shared" si="10"/>
        <v>0</v>
      </c>
      <c r="Z71" s="81">
        <f t="shared" si="33"/>
        <v>0</v>
      </c>
      <c r="AA71" s="81">
        <f t="shared" si="12"/>
        <v>0</v>
      </c>
      <c r="AB71" s="81">
        <f t="shared" si="32"/>
        <v>0</v>
      </c>
      <c r="AC71" s="81">
        <f t="shared" si="14"/>
        <v>0</v>
      </c>
      <c r="AD71" s="81">
        <f t="shared" si="30"/>
        <v>0</v>
      </c>
      <c r="AE71" s="81">
        <f t="shared" si="15"/>
        <v>0</v>
      </c>
      <c r="AF71" s="81">
        <f t="shared" si="31"/>
        <v>0</v>
      </c>
      <c r="AG71" s="81">
        <f t="shared" si="16"/>
        <v>0</v>
      </c>
    </row>
    <row r="72" spans="1:33" ht="15.5" x14ac:dyDescent="0.35">
      <c r="A72" s="57">
        <v>60</v>
      </c>
      <c r="B72" s="80">
        <f t="shared" si="17"/>
        <v>0</v>
      </c>
      <c r="C72" s="81">
        <f t="shared" si="18"/>
        <v>0</v>
      </c>
      <c r="D72" s="81">
        <f t="shared" si="19"/>
        <v>0</v>
      </c>
      <c r="E72" s="81">
        <f t="shared" si="0"/>
        <v>0</v>
      </c>
      <c r="F72" s="81">
        <f t="shared" si="20"/>
        <v>0</v>
      </c>
      <c r="G72" s="81">
        <f t="shared" si="1"/>
        <v>0</v>
      </c>
      <c r="H72" s="81">
        <f t="shared" si="21"/>
        <v>0</v>
      </c>
      <c r="I72" s="81">
        <f t="shared" si="2"/>
        <v>0</v>
      </c>
      <c r="J72" s="81">
        <f t="shared" si="22"/>
        <v>0</v>
      </c>
      <c r="K72" s="81">
        <f t="shared" si="3"/>
        <v>0</v>
      </c>
      <c r="L72" s="81">
        <f t="shared" si="23"/>
        <v>0</v>
      </c>
      <c r="M72" s="81">
        <f t="shared" si="4"/>
        <v>0</v>
      </c>
      <c r="N72" s="81">
        <f t="shared" si="24"/>
        <v>0</v>
      </c>
      <c r="O72" s="81">
        <f t="shared" si="5"/>
        <v>0</v>
      </c>
      <c r="P72" s="81">
        <f t="shared" si="25"/>
        <v>0</v>
      </c>
      <c r="Q72" s="81">
        <f t="shared" si="6"/>
        <v>0</v>
      </c>
      <c r="R72" s="81">
        <f t="shared" si="26"/>
        <v>0</v>
      </c>
      <c r="S72" s="81">
        <f t="shared" si="7"/>
        <v>0</v>
      </c>
      <c r="T72" s="81">
        <f t="shared" si="27"/>
        <v>0</v>
      </c>
      <c r="U72" s="81">
        <f t="shared" si="8"/>
        <v>0</v>
      </c>
      <c r="V72" s="81">
        <f t="shared" si="28"/>
        <v>0</v>
      </c>
      <c r="W72" s="81">
        <f t="shared" si="9"/>
        <v>0</v>
      </c>
      <c r="X72" s="81">
        <f t="shared" si="29"/>
        <v>0</v>
      </c>
      <c r="Y72" s="81">
        <f t="shared" si="10"/>
        <v>0</v>
      </c>
      <c r="Z72" s="81">
        <f t="shared" si="33"/>
        <v>0</v>
      </c>
      <c r="AA72" s="81">
        <f t="shared" si="12"/>
        <v>0</v>
      </c>
      <c r="AB72" s="81">
        <f t="shared" si="32"/>
        <v>0</v>
      </c>
      <c r="AC72" s="81">
        <f t="shared" si="14"/>
        <v>0</v>
      </c>
      <c r="AD72" s="81">
        <f t="shared" si="30"/>
        <v>0</v>
      </c>
      <c r="AE72" s="81">
        <f t="shared" si="15"/>
        <v>0</v>
      </c>
      <c r="AF72" s="81">
        <f t="shared" si="31"/>
        <v>0</v>
      </c>
      <c r="AG72" s="81">
        <f t="shared" si="16"/>
        <v>0</v>
      </c>
    </row>
    <row r="73" spans="1:33" ht="15.5" x14ac:dyDescent="0.35">
      <c r="A73" s="57">
        <v>61</v>
      </c>
      <c r="B73" s="80">
        <f t="shared" si="17"/>
        <v>0</v>
      </c>
      <c r="C73" s="81">
        <f t="shared" si="18"/>
        <v>0</v>
      </c>
      <c r="D73" s="81">
        <f t="shared" si="19"/>
        <v>0</v>
      </c>
      <c r="E73" s="81">
        <f t="shared" si="0"/>
        <v>0</v>
      </c>
      <c r="F73" s="81">
        <f t="shared" si="20"/>
        <v>0</v>
      </c>
      <c r="G73" s="81">
        <f t="shared" si="1"/>
        <v>0</v>
      </c>
      <c r="H73" s="81">
        <f t="shared" si="21"/>
        <v>0</v>
      </c>
      <c r="I73" s="81">
        <f t="shared" si="2"/>
        <v>0</v>
      </c>
      <c r="J73" s="81">
        <f t="shared" si="22"/>
        <v>0</v>
      </c>
      <c r="K73" s="81">
        <f t="shared" si="3"/>
        <v>0</v>
      </c>
      <c r="L73" s="81">
        <f t="shared" si="23"/>
        <v>0</v>
      </c>
      <c r="M73" s="81">
        <f t="shared" si="4"/>
        <v>0</v>
      </c>
      <c r="N73" s="81">
        <f t="shared" si="24"/>
        <v>0</v>
      </c>
      <c r="O73" s="81">
        <f t="shared" si="5"/>
        <v>0</v>
      </c>
      <c r="P73" s="81">
        <f t="shared" si="25"/>
        <v>0</v>
      </c>
      <c r="Q73" s="81">
        <f t="shared" si="6"/>
        <v>0</v>
      </c>
      <c r="R73" s="81">
        <f t="shared" si="26"/>
        <v>0</v>
      </c>
      <c r="S73" s="81">
        <f t="shared" si="7"/>
        <v>0</v>
      </c>
      <c r="T73" s="81">
        <f t="shared" si="27"/>
        <v>0</v>
      </c>
      <c r="U73" s="81">
        <f t="shared" si="8"/>
        <v>0</v>
      </c>
      <c r="V73" s="81">
        <f t="shared" si="28"/>
        <v>0</v>
      </c>
      <c r="W73" s="81">
        <f t="shared" si="9"/>
        <v>0</v>
      </c>
      <c r="X73" s="81">
        <f t="shared" si="29"/>
        <v>0</v>
      </c>
      <c r="Y73" s="81">
        <f t="shared" si="10"/>
        <v>0</v>
      </c>
      <c r="Z73" s="81">
        <f t="shared" si="33"/>
        <v>0</v>
      </c>
      <c r="AA73" s="81">
        <f t="shared" si="12"/>
        <v>0</v>
      </c>
      <c r="AB73" s="81">
        <f t="shared" si="32"/>
        <v>0</v>
      </c>
      <c r="AC73" s="81">
        <f t="shared" si="14"/>
        <v>0</v>
      </c>
      <c r="AD73" s="81">
        <f t="shared" si="30"/>
        <v>0</v>
      </c>
      <c r="AE73" s="81">
        <f t="shared" si="15"/>
        <v>0</v>
      </c>
      <c r="AF73" s="81">
        <f t="shared" si="31"/>
        <v>0</v>
      </c>
      <c r="AG73" s="81">
        <f t="shared" si="16"/>
        <v>0</v>
      </c>
    </row>
    <row r="74" spans="1:33" ht="15.5" x14ac:dyDescent="0.35">
      <c r="A74" s="57">
        <v>62</v>
      </c>
      <c r="B74" s="80">
        <f t="shared" si="17"/>
        <v>0</v>
      </c>
      <c r="C74" s="81">
        <f t="shared" si="18"/>
        <v>0</v>
      </c>
      <c r="D74" s="81">
        <f t="shared" si="19"/>
        <v>0</v>
      </c>
      <c r="E74" s="81">
        <f t="shared" si="0"/>
        <v>0</v>
      </c>
      <c r="F74" s="81">
        <f t="shared" si="20"/>
        <v>0</v>
      </c>
      <c r="G74" s="81">
        <f t="shared" si="1"/>
        <v>0</v>
      </c>
      <c r="H74" s="81">
        <f t="shared" si="21"/>
        <v>0</v>
      </c>
      <c r="I74" s="81">
        <f t="shared" si="2"/>
        <v>0</v>
      </c>
      <c r="J74" s="81">
        <f t="shared" si="22"/>
        <v>0</v>
      </c>
      <c r="K74" s="81">
        <f t="shared" si="3"/>
        <v>0</v>
      </c>
      <c r="L74" s="81">
        <f t="shared" si="23"/>
        <v>0</v>
      </c>
      <c r="M74" s="81">
        <f t="shared" si="4"/>
        <v>0</v>
      </c>
      <c r="N74" s="81">
        <f t="shared" si="24"/>
        <v>0</v>
      </c>
      <c r="O74" s="81">
        <f t="shared" si="5"/>
        <v>0</v>
      </c>
      <c r="P74" s="81">
        <f t="shared" si="25"/>
        <v>0</v>
      </c>
      <c r="Q74" s="81">
        <f t="shared" si="6"/>
        <v>0</v>
      </c>
      <c r="R74" s="81">
        <f t="shared" si="26"/>
        <v>0</v>
      </c>
      <c r="S74" s="81">
        <f t="shared" si="7"/>
        <v>0</v>
      </c>
      <c r="T74" s="81">
        <f t="shared" si="27"/>
        <v>0</v>
      </c>
      <c r="U74" s="81">
        <f t="shared" si="8"/>
        <v>0</v>
      </c>
      <c r="V74" s="81">
        <f t="shared" si="28"/>
        <v>0</v>
      </c>
      <c r="W74" s="81">
        <f t="shared" si="9"/>
        <v>0</v>
      </c>
      <c r="X74" s="81">
        <f t="shared" si="29"/>
        <v>0</v>
      </c>
      <c r="Y74" s="81">
        <f t="shared" si="10"/>
        <v>0</v>
      </c>
      <c r="Z74" s="81">
        <f t="shared" si="33"/>
        <v>0</v>
      </c>
      <c r="AA74" s="81">
        <f t="shared" si="12"/>
        <v>0</v>
      </c>
      <c r="AB74" s="81">
        <f t="shared" si="32"/>
        <v>0</v>
      </c>
      <c r="AC74" s="81">
        <f t="shared" si="14"/>
        <v>0</v>
      </c>
      <c r="AD74" s="81">
        <f t="shared" si="30"/>
        <v>0</v>
      </c>
      <c r="AE74" s="81">
        <f t="shared" si="15"/>
        <v>0</v>
      </c>
      <c r="AF74" s="81">
        <f t="shared" si="31"/>
        <v>0</v>
      </c>
      <c r="AG74" s="81">
        <f t="shared" si="16"/>
        <v>0</v>
      </c>
    </row>
    <row r="75" spans="1:33" ht="15.5" x14ac:dyDescent="0.35">
      <c r="A75" s="57">
        <v>63</v>
      </c>
      <c r="B75" s="80">
        <f t="shared" si="17"/>
        <v>0</v>
      </c>
      <c r="C75" s="81">
        <f t="shared" si="18"/>
        <v>0</v>
      </c>
      <c r="D75" s="81">
        <f t="shared" si="19"/>
        <v>0</v>
      </c>
      <c r="E75" s="81">
        <f t="shared" si="0"/>
        <v>0</v>
      </c>
      <c r="F75" s="81">
        <f t="shared" si="20"/>
        <v>0</v>
      </c>
      <c r="G75" s="81">
        <f t="shared" si="1"/>
        <v>0</v>
      </c>
      <c r="H75" s="81">
        <f t="shared" si="21"/>
        <v>0</v>
      </c>
      <c r="I75" s="81">
        <f t="shared" si="2"/>
        <v>0</v>
      </c>
      <c r="J75" s="81">
        <f t="shared" si="22"/>
        <v>0</v>
      </c>
      <c r="K75" s="81">
        <f t="shared" si="3"/>
        <v>0</v>
      </c>
      <c r="L75" s="81">
        <f t="shared" si="23"/>
        <v>0</v>
      </c>
      <c r="M75" s="81">
        <f t="shared" si="4"/>
        <v>0</v>
      </c>
      <c r="N75" s="81">
        <f t="shared" si="24"/>
        <v>0</v>
      </c>
      <c r="O75" s="81">
        <f t="shared" si="5"/>
        <v>0</v>
      </c>
      <c r="P75" s="81">
        <f t="shared" si="25"/>
        <v>0</v>
      </c>
      <c r="Q75" s="81">
        <f t="shared" si="6"/>
        <v>0</v>
      </c>
      <c r="R75" s="81">
        <f t="shared" si="26"/>
        <v>0</v>
      </c>
      <c r="S75" s="81">
        <f t="shared" si="7"/>
        <v>0</v>
      </c>
      <c r="T75" s="81">
        <f t="shared" si="27"/>
        <v>0</v>
      </c>
      <c r="U75" s="81">
        <f t="shared" si="8"/>
        <v>0</v>
      </c>
      <c r="V75" s="81">
        <f t="shared" si="28"/>
        <v>0</v>
      </c>
      <c r="W75" s="81">
        <f t="shared" si="9"/>
        <v>0</v>
      </c>
      <c r="X75" s="81">
        <f t="shared" si="29"/>
        <v>0</v>
      </c>
      <c r="Y75" s="81">
        <f t="shared" si="10"/>
        <v>0</v>
      </c>
      <c r="Z75" s="81">
        <f t="shared" si="33"/>
        <v>0</v>
      </c>
      <c r="AA75" s="81">
        <f t="shared" si="12"/>
        <v>0</v>
      </c>
      <c r="AB75" s="81">
        <f t="shared" si="32"/>
        <v>0</v>
      </c>
      <c r="AC75" s="81">
        <f t="shared" si="14"/>
        <v>0</v>
      </c>
      <c r="AD75" s="81">
        <f t="shared" si="30"/>
        <v>0</v>
      </c>
      <c r="AE75" s="81">
        <f t="shared" si="15"/>
        <v>0</v>
      </c>
      <c r="AF75" s="81">
        <f t="shared" si="31"/>
        <v>0</v>
      </c>
      <c r="AG75" s="81">
        <f t="shared" si="16"/>
        <v>0</v>
      </c>
    </row>
    <row r="76" spans="1:33" ht="15.5" x14ac:dyDescent="0.35">
      <c r="A76" s="57">
        <v>64</v>
      </c>
      <c r="B76" s="80">
        <f t="shared" si="17"/>
        <v>0</v>
      </c>
      <c r="C76" s="81">
        <f t="shared" si="18"/>
        <v>0</v>
      </c>
      <c r="D76" s="81">
        <f t="shared" si="19"/>
        <v>0</v>
      </c>
      <c r="E76" s="81">
        <f t="shared" si="0"/>
        <v>0</v>
      </c>
      <c r="F76" s="81">
        <f t="shared" si="20"/>
        <v>0</v>
      </c>
      <c r="G76" s="81">
        <f t="shared" si="1"/>
        <v>0</v>
      </c>
      <c r="H76" s="81">
        <f t="shared" si="21"/>
        <v>0</v>
      </c>
      <c r="I76" s="81">
        <f t="shared" si="2"/>
        <v>0</v>
      </c>
      <c r="J76" s="81">
        <f t="shared" si="22"/>
        <v>0</v>
      </c>
      <c r="K76" s="81">
        <f t="shared" si="3"/>
        <v>0</v>
      </c>
      <c r="L76" s="81">
        <f t="shared" si="23"/>
        <v>0</v>
      </c>
      <c r="M76" s="81">
        <f t="shared" si="4"/>
        <v>0</v>
      </c>
      <c r="N76" s="81">
        <f t="shared" si="24"/>
        <v>0</v>
      </c>
      <c r="O76" s="81">
        <f t="shared" si="5"/>
        <v>0</v>
      </c>
      <c r="P76" s="81">
        <f t="shared" si="25"/>
        <v>0</v>
      </c>
      <c r="Q76" s="81">
        <f t="shared" si="6"/>
        <v>0</v>
      </c>
      <c r="R76" s="81">
        <f t="shared" si="26"/>
        <v>0</v>
      </c>
      <c r="S76" s="81">
        <f t="shared" si="7"/>
        <v>0</v>
      </c>
      <c r="T76" s="81">
        <f t="shared" si="27"/>
        <v>0</v>
      </c>
      <c r="U76" s="81">
        <f t="shared" si="8"/>
        <v>0</v>
      </c>
      <c r="V76" s="81">
        <f t="shared" si="28"/>
        <v>0</v>
      </c>
      <c r="W76" s="81">
        <f t="shared" si="9"/>
        <v>0</v>
      </c>
      <c r="X76" s="81">
        <f t="shared" si="29"/>
        <v>0</v>
      </c>
      <c r="Y76" s="81">
        <f t="shared" si="10"/>
        <v>0</v>
      </c>
      <c r="Z76" s="81">
        <f t="shared" si="33"/>
        <v>0</v>
      </c>
      <c r="AA76" s="81">
        <f t="shared" si="12"/>
        <v>0</v>
      </c>
      <c r="AB76" s="81">
        <f t="shared" si="32"/>
        <v>0</v>
      </c>
      <c r="AC76" s="81">
        <f t="shared" si="14"/>
        <v>0</v>
      </c>
      <c r="AD76" s="81">
        <f t="shared" si="30"/>
        <v>0</v>
      </c>
      <c r="AE76" s="81">
        <f t="shared" si="15"/>
        <v>0</v>
      </c>
      <c r="AF76" s="81">
        <f t="shared" si="31"/>
        <v>0</v>
      </c>
      <c r="AG76" s="81">
        <f t="shared" si="16"/>
        <v>0</v>
      </c>
    </row>
    <row r="77" spans="1:33" ht="15.5" x14ac:dyDescent="0.35">
      <c r="A77" s="57">
        <v>65</v>
      </c>
      <c r="B77" s="80">
        <f t="shared" si="17"/>
        <v>0</v>
      </c>
      <c r="C77" s="81">
        <f t="shared" si="18"/>
        <v>0</v>
      </c>
      <c r="D77" s="81">
        <f t="shared" si="19"/>
        <v>0</v>
      </c>
      <c r="E77" s="81">
        <f t="shared" si="0"/>
        <v>0</v>
      </c>
      <c r="F77" s="81">
        <f t="shared" si="20"/>
        <v>0</v>
      </c>
      <c r="G77" s="81">
        <f t="shared" si="1"/>
        <v>0</v>
      </c>
      <c r="H77" s="81">
        <f t="shared" si="21"/>
        <v>0</v>
      </c>
      <c r="I77" s="81">
        <f t="shared" si="2"/>
        <v>0</v>
      </c>
      <c r="J77" s="81">
        <f t="shared" si="22"/>
        <v>0</v>
      </c>
      <c r="K77" s="81">
        <f t="shared" si="3"/>
        <v>0</v>
      </c>
      <c r="L77" s="81">
        <f t="shared" si="23"/>
        <v>0</v>
      </c>
      <c r="M77" s="81">
        <f t="shared" si="4"/>
        <v>0</v>
      </c>
      <c r="N77" s="81">
        <f t="shared" si="24"/>
        <v>0</v>
      </c>
      <c r="O77" s="81">
        <f t="shared" si="5"/>
        <v>0</v>
      </c>
      <c r="P77" s="81">
        <f t="shared" si="25"/>
        <v>0</v>
      </c>
      <c r="Q77" s="81">
        <f t="shared" si="6"/>
        <v>0</v>
      </c>
      <c r="R77" s="81">
        <f t="shared" si="26"/>
        <v>0</v>
      </c>
      <c r="S77" s="81">
        <f t="shared" si="7"/>
        <v>0</v>
      </c>
      <c r="T77" s="81">
        <f t="shared" si="27"/>
        <v>0</v>
      </c>
      <c r="U77" s="81">
        <f t="shared" si="8"/>
        <v>0</v>
      </c>
      <c r="V77" s="81">
        <f t="shared" si="28"/>
        <v>0</v>
      </c>
      <c r="W77" s="81">
        <f t="shared" si="9"/>
        <v>0</v>
      </c>
      <c r="X77" s="81">
        <f t="shared" si="29"/>
        <v>0</v>
      </c>
      <c r="Y77" s="81">
        <f t="shared" si="10"/>
        <v>0</v>
      </c>
      <c r="Z77" s="81">
        <f t="shared" si="33"/>
        <v>0</v>
      </c>
      <c r="AA77" s="81">
        <f t="shared" si="12"/>
        <v>0</v>
      </c>
      <c r="AB77" s="81">
        <f t="shared" si="32"/>
        <v>0</v>
      </c>
      <c r="AC77" s="81">
        <f t="shared" si="14"/>
        <v>0</v>
      </c>
      <c r="AD77" s="81">
        <f t="shared" si="30"/>
        <v>0</v>
      </c>
      <c r="AE77" s="81">
        <f t="shared" si="15"/>
        <v>0</v>
      </c>
      <c r="AF77" s="81">
        <f t="shared" si="31"/>
        <v>0</v>
      </c>
      <c r="AG77" s="81">
        <f t="shared" si="16"/>
        <v>0</v>
      </c>
    </row>
    <row r="78" spans="1:33" ht="15.5" x14ac:dyDescent="0.35">
      <c r="A78" s="57">
        <v>66</v>
      </c>
      <c r="B78" s="80">
        <f t="shared" si="17"/>
        <v>0</v>
      </c>
      <c r="C78" s="81">
        <f t="shared" si="18"/>
        <v>0</v>
      </c>
      <c r="D78" s="81">
        <f t="shared" si="19"/>
        <v>0</v>
      </c>
      <c r="E78" s="81">
        <f t="shared" ref="E78:E132" si="34">IF((E77-D78)&lt;=0.0001,0,(E77-D78)*(1+(E$10/12)))</f>
        <v>0</v>
      </c>
      <c r="F78" s="81">
        <f t="shared" si="20"/>
        <v>0</v>
      </c>
      <c r="G78" s="81">
        <f t="shared" ref="G78:G132" si="35">IF((G77-F78)&lt;=0.0001,0,(G77-F78)*(1+(G$10/12)))</f>
        <v>0</v>
      </c>
      <c r="H78" s="81">
        <f t="shared" si="21"/>
        <v>0</v>
      </c>
      <c r="I78" s="81">
        <f t="shared" ref="I78:I132" si="36">IF((I77-H78)&lt;=0.0001,0,(I77-H78)*(1+(I$10/12)))</f>
        <v>0</v>
      </c>
      <c r="J78" s="81">
        <f t="shared" si="22"/>
        <v>0</v>
      </c>
      <c r="K78" s="81">
        <f t="shared" ref="K78:K132" si="37">IF((K77-J78)&lt;=0.0001,0,(K77-J78)*(1+(K$10/12)))</f>
        <v>0</v>
      </c>
      <c r="L78" s="81">
        <f t="shared" si="23"/>
        <v>0</v>
      </c>
      <c r="M78" s="81">
        <f t="shared" ref="M78:M132" si="38">IF((M77-L78)&lt;=0.0001,0,(M77-L78)*(1+(M$10/12)))</f>
        <v>0</v>
      </c>
      <c r="N78" s="81">
        <f t="shared" si="24"/>
        <v>0</v>
      </c>
      <c r="O78" s="81">
        <f t="shared" ref="O78:O132" si="39">IF((O77-N78)&lt;=0.0001,0,(O77-N78)*(1+(O$10/12)))</f>
        <v>0</v>
      </c>
      <c r="P78" s="81">
        <f t="shared" si="25"/>
        <v>0</v>
      </c>
      <c r="Q78" s="81">
        <f t="shared" ref="Q78:Q132" si="40">IF((Q77-P78)&lt;=0.0001,0,(Q77-P78)*(1+(Q$10/12)))</f>
        <v>0</v>
      </c>
      <c r="R78" s="81">
        <f t="shared" si="26"/>
        <v>0</v>
      </c>
      <c r="S78" s="81">
        <f t="shared" ref="S78:S132" si="41">IF((S77-R78)&lt;=0.0001,0,(S77-R78)*(1+(S$10/12)))</f>
        <v>0</v>
      </c>
      <c r="T78" s="81">
        <f t="shared" si="27"/>
        <v>0</v>
      </c>
      <c r="U78" s="81">
        <f t="shared" ref="U78:U132" si="42">IF((U77-T78)&lt;=0.0001,0,(U77-T78)*(1+(U$10/12)))</f>
        <v>0</v>
      </c>
      <c r="V78" s="81">
        <f t="shared" si="28"/>
        <v>0</v>
      </c>
      <c r="W78" s="81">
        <f t="shared" ref="W78:W132" si="43">IF((W77-V78)&lt;=0.0001,0,(W77-V78)*(1+(W$10/12)))</f>
        <v>0</v>
      </c>
      <c r="X78" s="81">
        <f t="shared" si="29"/>
        <v>0</v>
      </c>
      <c r="Y78" s="81">
        <f t="shared" ref="Y78:Y132" si="44">IF((Y77-X78)&lt;=0.0001,0,(Y77-X78)*(1+(Y$10/12)))</f>
        <v>0</v>
      </c>
      <c r="Z78" s="81">
        <f t="shared" si="33"/>
        <v>0</v>
      </c>
      <c r="AA78" s="81">
        <f t="shared" ref="AA78:AA132" si="45">IF((AA77-Z78)&lt;=0.0001,0,(AA77-Z78)*(1+(AA$10/12)))</f>
        <v>0</v>
      </c>
      <c r="AB78" s="81">
        <f t="shared" si="32"/>
        <v>0</v>
      </c>
      <c r="AC78" s="81">
        <f t="shared" ref="AC78:AC132" si="46">IF((AC77-AB78)&lt;=0.0001,0,(AC77-AB78)*(1+(AC$10/12)))</f>
        <v>0</v>
      </c>
      <c r="AD78" s="81">
        <f t="shared" si="30"/>
        <v>0</v>
      </c>
      <c r="AE78" s="81">
        <f t="shared" ref="AE78:AE132" si="47">IF((AE77-AD78)&lt;=0.0001,0,(AE77-AD78)*(1+(AE$10/12)))</f>
        <v>0</v>
      </c>
      <c r="AF78" s="81">
        <f t="shared" si="31"/>
        <v>0</v>
      </c>
      <c r="AG78" s="81">
        <f t="shared" ref="AG78:AG132" si="48">IF((AG77-AF78)&lt;=0.0001,0,(AG77-AF78)*(1+(AG$10/12)))</f>
        <v>0</v>
      </c>
    </row>
    <row r="79" spans="1:33" ht="15.5" x14ac:dyDescent="0.35">
      <c r="A79" s="57">
        <v>67</v>
      </c>
      <c r="B79" s="80">
        <f t="shared" ref="B79:B132" si="49">IF((C78-$H$2-$C$9)&lt;=0,($H$2+(C78-$H$2)),($H$2+$C$9))</f>
        <v>0</v>
      </c>
      <c r="C79" s="81">
        <f t="shared" ref="C79:C132" si="50">IF((C78-B79)&lt;=0.0001,0,(C78-B79)*(1+(C$10/12)))</f>
        <v>0</v>
      </c>
      <c r="D79" s="81">
        <f t="shared" ref="D79:D132" si="51">IF(AND(((E78-$H$2+B79-E$9-C$9)&lt;=0),C79=0),E78,IF((E78-$E$9-$H$2)&lt;=0,E78,IF(C79=0,$H$2-B79+E$9+C$9,E$9)))</f>
        <v>0</v>
      </c>
      <c r="E79" s="81">
        <f t="shared" si="34"/>
        <v>0</v>
      </c>
      <c r="F79" s="81">
        <f t="shared" ref="F79:F132" si="52">IF(AND(((G78-$H$2+D79-G$9-E$9-C$9)&lt;=0),E79=0),G78, IF((G78-$G$9-$H$2)&lt;=0,G78,IF(E79=0,$H$2-D79+G$9+E$9+C$9,G$9)))</f>
        <v>0</v>
      </c>
      <c r="G79" s="81">
        <f t="shared" si="35"/>
        <v>0</v>
      </c>
      <c r="H79" s="81">
        <f t="shared" ref="H79:H132" si="53">IF(AND(((I78-$H$2+F79-I$9-G$9-E$9-C$9)&lt;=0),G79=0),I78, IF((I78-$I$9-$H$2)&lt;=0,I78,IF(G79=0,$H$2-F79+I$9+G$9+E$9+C$9,I$9)))</f>
        <v>0</v>
      </c>
      <c r="I79" s="81">
        <f t="shared" si="36"/>
        <v>0</v>
      </c>
      <c r="J79" s="81">
        <f t="shared" ref="J79:J132" si="54">IF(AND(((K78-$H$2+H79+F79+D79+B79-K$9-I$9-G$9-E$9-C$9)&lt;=0),I79+G79+E79+C79=0),K78, IF(AND((K78-K$9-$H$2)&lt;=0, I79=0),K78,IF(K$9&gt;=K78, K78, IF(AND(I79=0,G79=0,E79=0,C79=0), $H$2-H79-F79-D79-B79+K$9+I$9+G$9+E$9+C$9,K$9))))</f>
        <v>0</v>
      </c>
      <c r="K79" s="81">
        <f t="shared" si="37"/>
        <v>0</v>
      </c>
      <c r="L79" s="81">
        <f t="shared" ref="L79:L132" si="55">IF(AND(((M78-$H$2+J79+H79+F79+D79-M$9-K$9-I$9-G$9-E$9-C$9)&lt;=0),K79+I79+G79+E79=0),M78, IF(AND((M78-M$9-$H$2)&lt;=0, K79=0),M78,IF(M$9&gt;=M78, M78, IF(AND(K79=0,I79=0,G79=0,E79=0), $H$2-J79-H79-F79-D79+M$9+K$9+I$9+G$9+E$9+C$9,M$9))))</f>
        <v>0</v>
      </c>
      <c r="M79" s="81">
        <f t="shared" si="38"/>
        <v>0</v>
      </c>
      <c r="N79" s="81">
        <f t="shared" ref="N79:N132" si="56">IF(AND(((O78-$H$2+L79+J79+H79+F79-O$9-M$9-K$9-I$9-G$9-E$9-C$9)&lt;=0),M79+K79+I79+G79=0),O78, IF(AND((O78-O$9-$H$2)&lt;=0, M79=0),O78,IF(O$9&gt;=O78, O78, IF(AND(M79=0,K79=0,I79=0,G79=0), $H$2-L79-J79-H79-F79+O$9+M$9+K$9+I$9+G$9+E$9+C$9,O$9))))</f>
        <v>0</v>
      </c>
      <c r="O79" s="81">
        <f t="shared" si="39"/>
        <v>0</v>
      </c>
      <c r="P79" s="81">
        <f t="shared" ref="P79:P132" si="57">IF(AND(((Q78-$H$2+N79+L79+J79+H79-Q$9-O$9-M$9-K$9-I$9-G$9-E$9-C$9)&lt;=0),O79+M79+K79+I79=0),Q78, IF(AND((Q78-Q$9-$H$2)&lt;=0, O79=0),Q78,IF(Q$9&gt;=Q78, Q78, IF(AND(O79=0,M79=0,K79=0,I79=0), $H$2-N79-L79-J79-H79+Q$9+O$9+M$9+K$9+I$9+G$9+E$9+C$9,Q$9))))</f>
        <v>0</v>
      </c>
      <c r="Q79" s="81">
        <f t="shared" si="40"/>
        <v>0</v>
      </c>
      <c r="R79" s="81">
        <f t="shared" ref="R79:R132" si="58">IF(AND(((S78-$H$2+P79+N79+L79+J79-S$9-Q$9-O$9-M$9-K$9-I$9-G$9-E$9-C$9)&lt;=0),Q79+O79+M79+K79=0),S78, IF(AND((S78-S$9-$H$2)&lt;=0, Q79=0),S78,IF(S$9&gt;=S78, S78, IF(AND(Q79=0,O79=0,M79=0,K79=0), $H$2-P79-N79-L79-J79+S$9+Q$9+O$9+M$9+K$9+I$9+G$9+E$9+C$9,S$9))))</f>
        <v>0</v>
      </c>
      <c r="S79" s="81">
        <f t="shared" si="41"/>
        <v>0</v>
      </c>
      <c r="T79" s="81">
        <f t="shared" ref="T79:T132" si="59">IF(AND(((U78-$H$2+R79+P79+N79+L79-U$9-S$9-Q$9-O$9-M$9-K$9-I$9-G$9-E$9-C$9)&lt;=0),S79+Q79+O79+M79=0),U78, IF(AND((U78-U$9-$H$2)&lt;=0, S79=0),U78,IF(U$9&gt;=U78, U78, IF(AND(S79=0,Q79=0,O79=0,M79=0), $H$2-R79-P79-N79-L79+U$9+S$9+Q$9+O$9+M$9+K$9+I$9+G$9+E$9+C$9,U$9))))</f>
        <v>0</v>
      </c>
      <c r="U79" s="81">
        <f t="shared" si="42"/>
        <v>0</v>
      </c>
      <c r="V79" s="81">
        <f t="shared" ref="V79:V132" si="60">IF(AND(((W78-$H$2+T79+R79+P79+N79-W$9-U$9-S$9-Q$9-O$9-M$9-K$9-I$9-G$9-E$9-C$9)&lt;=0),U79+S79+Q79+O79=0),W78, IF(AND((W78-W$9-$H$2)&lt;=0, U79=0),W78,IF(W$9&gt;=W78, W78, IF(AND(U79=0,S79=0,Q79=0,O79=0), $H$2-T79-R79-P79-N79+W$9+U$9+S$9+Q$9+O$9+M$9+K$9+I$9+G$9+E$9+C$9,W$9))))</f>
        <v>0</v>
      </c>
      <c r="W79" s="81">
        <f t="shared" si="43"/>
        <v>0</v>
      </c>
      <c r="X79" s="81">
        <f t="shared" ref="X79:X132" si="61">IF(AND(((Y78-$H$2+V79+T79+R79+P79-Y$9-W$9-U$9-S$9-Q$9-O$9-M$9-K$9-I$9-G$9-E$9-C$9)&lt;=0),W79+U79+S79+Q79=0),Y78, IF(AND((Y78-Y$9-$H$2)&lt;=0, W79=0),Y78,IF(Y$9&gt;=Y78, Y78, IF(AND(W79=0,U79=0,S79=0,Q79=0), $H$2-V79-T79-R79-P79+Y$9+W$9+U$9+S$9+Q$9+O$9+M$9+K$9+I$9+G$9+E$9+C$9,Y$9))))</f>
        <v>0</v>
      </c>
      <c r="Y79" s="81">
        <f t="shared" si="44"/>
        <v>0</v>
      </c>
      <c r="Z79" s="81">
        <f t="shared" si="33"/>
        <v>0</v>
      </c>
      <c r="AA79" s="81">
        <f t="shared" si="45"/>
        <v>0</v>
      </c>
      <c r="AB79" s="81">
        <f t="shared" si="32"/>
        <v>0</v>
      </c>
      <c r="AC79" s="81">
        <f t="shared" si="46"/>
        <v>0</v>
      </c>
      <c r="AD79" s="81">
        <f t="shared" ref="AD79:AD132" si="62">IF(AND(((AE78-$H$2+AB79-AE$9-AC$9-AA$9-Y$9-W$9-U$9-S$9-Q$9-O$9-M$9-K$9-I$9-G$9-E$9-C$9)&lt;=0),AC79=0),AE78, IF((AE78-AE$9-$H$2)&lt;=0,AE78,IF(AC79=0,$H$2-AB79+AE$9+AC$9+AA$9+Y$9+W$9+U$9+S$9+Q$9+O$9+M$9+K$9+I$9+G$9+E$9+C$9,AE$9)))</f>
        <v>0</v>
      </c>
      <c r="AE79" s="81">
        <f t="shared" si="47"/>
        <v>0</v>
      </c>
      <c r="AF79" s="81">
        <f t="shared" ref="AF79:AF132" si="63">IF(AND(((AG78-$H$2+AD79-AG$9-AE$9-AC$9-AA$9-Y$9-W$9-U$9-S$9-Q$9-O$9-M$9-K$9-I$9-G$9-E$9-C$9)&lt;=0),AE79=0),AG78, IF((AG78-AG$9-$H$2)&lt;=0,AG78,IF(AE79=0,$H$2-AD79+AG$9+AE$9+AC$9+AA$9+Y$9+W$9+U$9+S$9+Q$9+O$9+M$9+K$9+I$9+G$9+E$9+C$9,AG$9)))</f>
        <v>0</v>
      </c>
      <c r="AG79" s="81">
        <f t="shared" si="48"/>
        <v>0</v>
      </c>
    </row>
    <row r="80" spans="1:33" ht="15.5" x14ac:dyDescent="0.35">
      <c r="A80" s="57">
        <v>68</v>
      </c>
      <c r="B80" s="80">
        <f t="shared" si="49"/>
        <v>0</v>
      </c>
      <c r="C80" s="81">
        <f t="shared" si="50"/>
        <v>0</v>
      </c>
      <c r="D80" s="81">
        <f t="shared" si="51"/>
        <v>0</v>
      </c>
      <c r="E80" s="81">
        <f t="shared" si="34"/>
        <v>0</v>
      </c>
      <c r="F80" s="81">
        <f t="shared" si="52"/>
        <v>0</v>
      </c>
      <c r="G80" s="81">
        <f t="shared" si="35"/>
        <v>0</v>
      </c>
      <c r="H80" s="81">
        <f t="shared" si="53"/>
        <v>0</v>
      </c>
      <c r="I80" s="81">
        <f t="shared" si="36"/>
        <v>0</v>
      </c>
      <c r="J80" s="81">
        <f t="shared" si="54"/>
        <v>0</v>
      </c>
      <c r="K80" s="81">
        <f t="shared" si="37"/>
        <v>0</v>
      </c>
      <c r="L80" s="81">
        <f t="shared" si="55"/>
        <v>0</v>
      </c>
      <c r="M80" s="81">
        <f t="shared" si="38"/>
        <v>0</v>
      </c>
      <c r="N80" s="81">
        <f t="shared" si="56"/>
        <v>0</v>
      </c>
      <c r="O80" s="81">
        <f t="shared" si="39"/>
        <v>0</v>
      </c>
      <c r="P80" s="81">
        <f t="shared" si="57"/>
        <v>0</v>
      </c>
      <c r="Q80" s="81">
        <f t="shared" si="40"/>
        <v>0</v>
      </c>
      <c r="R80" s="81">
        <f t="shared" si="58"/>
        <v>0</v>
      </c>
      <c r="S80" s="81">
        <f t="shared" si="41"/>
        <v>0</v>
      </c>
      <c r="T80" s="81">
        <f t="shared" si="59"/>
        <v>0</v>
      </c>
      <c r="U80" s="81">
        <f t="shared" si="42"/>
        <v>0</v>
      </c>
      <c r="V80" s="81">
        <f t="shared" si="60"/>
        <v>0</v>
      </c>
      <c r="W80" s="81">
        <f t="shared" si="43"/>
        <v>0</v>
      </c>
      <c r="X80" s="81">
        <f t="shared" si="61"/>
        <v>0</v>
      </c>
      <c r="Y80" s="81">
        <f t="shared" si="44"/>
        <v>0</v>
      </c>
      <c r="Z80" s="81">
        <f t="shared" si="33"/>
        <v>0</v>
      </c>
      <c r="AA80" s="81">
        <f t="shared" si="45"/>
        <v>0</v>
      </c>
      <c r="AB80" s="81">
        <f t="shared" si="32"/>
        <v>0</v>
      </c>
      <c r="AC80" s="81">
        <f t="shared" si="46"/>
        <v>0</v>
      </c>
      <c r="AD80" s="81">
        <f t="shared" si="62"/>
        <v>0</v>
      </c>
      <c r="AE80" s="81">
        <f t="shared" si="47"/>
        <v>0</v>
      </c>
      <c r="AF80" s="81">
        <f t="shared" si="63"/>
        <v>0</v>
      </c>
      <c r="AG80" s="81">
        <f t="shared" si="48"/>
        <v>0</v>
      </c>
    </row>
    <row r="81" spans="1:33" ht="15.5" x14ac:dyDescent="0.35">
      <c r="A81" s="57">
        <v>69</v>
      </c>
      <c r="B81" s="80">
        <f>IF((C80-$H$2-$C$9)&lt;=0,($H$2+(C80-$H$2)),($H$2+$C$9))</f>
        <v>0</v>
      </c>
      <c r="C81" s="81">
        <f t="shared" si="50"/>
        <v>0</v>
      </c>
      <c r="D81" s="81">
        <f t="shared" si="51"/>
        <v>0</v>
      </c>
      <c r="E81" s="81">
        <f t="shared" si="34"/>
        <v>0</v>
      </c>
      <c r="F81" s="81">
        <f t="shared" si="52"/>
        <v>0</v>
      </c>
      <c r="G81" s="81">
        <f t="shared" si="35"/>
        <v>0</v>
      </c>
      <c r="H81" s="81">
        <f t="shared" si="53"/>
        <v>0</v>
      </c>
      <c r="I81" s="81">
        <f t="shared" si="36"/>
        <v>0</v>
      </c>
      <c r="J81" s="81">
        <f t="shared" si="54"/>
        <v>0</v>
      </c>
      <c r="K81" s="81">
        <f t="shared" si="37"/>
        <v>0</v>
      </c>
      <c r="L81" s="81">
        <f t="shared" si="55"/>
        <v>0</v>
      </c>
      <c r="M81" s="81">
        <f t="shared" si="38"/>
        <v>0</v>
      </c>
      <c r="N81" s="81">
        <f t="shared" si="56"/>
        <v>0</v>
      </c>
      <c r="O81" s="81">
        <f t="shared" si="39"/>
        <v>0</v>
      </c>
      <c r="P81" s="81">
        <f t="shared" si="57"/>
        <v>0</v>
      </c>
      <c r="Q81" s="81">
        <f t="shared" si="40"/>
        <v>0</v>
      </c>
      <c r="R81" s="81">
        <f t="shared" si="58"/>
        <v>0</v>
      </c>
      <c r="S81" s="81">
        <f t="shared" si="41"/>
        <v>0</v>
      </c>
      <c r="T81" s="81">
        <f t="shared" si="59"/>
        <v>0</v>
      </c>
      <c r="U81" s="81">
        <f t="shared" si="42"/>
        <v>0</v>
      </c>
      <c r="V81" s="81">
        <f t="shared" si="60"/>
        <v>0</v>
      </c>
      <c r="W81" s="81">
        <f t="shared" si="43"/>
        <v>0</v>
      </c>
      <c r="X81" s="81">
        <f t="shared" si="61"/>
        <v>0</v>
      </c>
      <c r="Y81" s="81">
        <f t="shared" si="44"/>
        <v>0</v>
      </c>
      <c r="Z81" s="81">
        <f t="shared" si="33"/>
        <v>0</v>
      </c>
      <c r="AA81" s="81">
        <f t="shared" si="45"/>
        <v>0</v>
      </c>
      <c r="AB81" s="81">
        <f t="shared" si="32"/>
        <v>0</v>
      </c>
      <c r="AC81" s="81">
        <f t="shared" si="46"/>
        <v>0</v>
      </c>
      <c r="AD81" s="81">
        <f t="shared" si="62"/>
        <v>0</v>
      </c>
      <c r="AE81" s="81">
        <f t="shared" si="47"/>
        <v>0</v>
      </c>
      <c r="AF81" s="81">
        <f t="shared" si="63"/>
        <v>0</v>
      </c>
      <c r="AG81" s="81">
        <f t="shared" si="48"/>
        <v>0</v>
      </c>
    </row>
    <row r="82" spans="1:33" ht="15.5" x14ac:dyDescent="0.35">
      <c r="A82" s="57">
        <v>70</v>
      </c>
      <c r="B82" s="80">
        <f t="shared" si="49"/>
        <v>0</v>
      </c>
      <c r="C82" s="81">
        <f t="shared" si="50"/>
        <v>0</v>
      </c>
      <c r="D82" s="81">
        <f t="shared" si="51"/>
        <v>0</v>
      </c>
      <c r="E82" s="81">
        <f t="shared" si="34"/>
        <v>0</v>
      </c>
      <c r="F82" s="81">
        <f t="shared" si="52"/>
        <v>0</v>
      </c>
      <c r="G82" s="81">
        <f t="shared" si="35"/>
        <v>0</v>
      </c>
      <c r="H82" s="81">
        <f t="shared" si="53"/>
        <v>0</v>
      </c>
      <c r="I82" s="81">
        <f t="shared" si="36"/>
        <v>0</v>
      </c>
      <c r="J82" s="81">
        <f t="shared" si="54"/>
        <v>0</v>
      </c>
      <c r="K82" s="81">
        <f t="shared" si="37"/>
        <v>0</v>
      </c>
      <c r="L82" s="81">
        <f t="shared" si="55"/>
        <v>0</v>
      </c>
      <c r="M82" s="81">
        <f t="shared" si="38"/>
        <v>0</v>
      </c>
      <c r="N82" s="81">
        <f t="shared" si="56"/>
        <v>0</v>
      </c>
      <c r="O82" s="81">
        <f t="shared" si="39"/>
        <v>0</v>
      </c>
      <c r="P82" s="81">
        <f t="shared" si="57"/>
        <v>0</v>
      </c>
      <c r="Q82" s="81">
        <f t="shared" si="40"/>
        <v>0</v>
      </c>
      <c r="R82" s="81">
        <f t="shared" si="58"/>
        <v>0</v>
      </c>
      <c r="S82" s="81">
        <f t="shared" si="41"/>
        <v>0</v>
      </c>
      <c r="T82" s="81">
        <f t="shared" si="59"/>
        <v>0</v>
      </c>
      <c r="U82" s="81">
        <f t="shared" si="42"/>
        <v>0</v>
      </c>
      <c r="V82" s="81">
        <f t="shared" si="60"/>
        <v>0</v>
      </c>
      <c r="W82" s="81">
        <f t="shared" si="43"/>
        <v>0</v>
      </c>
      <c r="X82" s="81">
        <f t="shared" si="61"/>
        <v>0</v>
      </c>
      <c r="Y82" s="81">
        <f t="shared" si="44"/>
        <v>0</v>
      </c>
      <c r="Z82" s="81">
        <f t="shared" si="33"/>
        <v>0</v>
      </c>
      <c r="AA82" s="81">
        <f t="shared" si="45"/>
        <v>0</v>
      </c>
      <c r="AB82" s="81">
        <f t="shared" si="32"/>
        <v>0</v>
      </c>
      <c r="AC82" s="81">
        <f t="shared" si="46"/>
        <v>0</v>
      </c>
      <c r="AD82" s="81">
        <f t="shared" si="62"/>
        <v>0</v>
      </c>
      <c r="AE82" s="81">
        <f t="shared" si="47"/>
        <v>0</v>
      </c>
      <c r="AF82" s="81">
        <f t="shared" si="63"/>
        <v>0</v>
      </c>
      <c r="AG82" s="81">
        <f t="shared" si="48"/>
        <v>0</v>
      </c>
    </row>
    <row r="83" spans="1:33" ht="15.5" x14ac:dyDescent="0.35">
      <c r="A83" s="57">
        <v>71</v>
      </c>
      <c r="B83" s="80">
        <f t="shared" si="49"/>
        <v>0</v>
      </c>
      <c r="C83" s="81">
        <f t="shared" si="50"/>
        <v>0</v>
      </c>
      <c r="D83" s="81">
        <f t="shared" si="51"/>
        <v>0</v>
      </c>
      <c r="E83" s="81">
        <f t="shared" si="34"/>
        <v>0</v>
      </c>
      <c r="F83" s="81">
        <f t="shared" si="52"/>
        <v>0</v>
      </c>
      <c r="G83" s="81">
        <f t="shared" si="35"/>
        <v>0</v>
      </c>
      <c r="H83" s="81">
        <f t="shared" si="53"/>
        <v>0</v>
      </c>
      <c r="I83" s="81">
        <f t="shared" si="36"/>
        <v>0</v>
      </c>
      <c r="J83" s="81">
        <f t="shared" si="54"/>
        <v>0</v>
      </c>
      <c r="K83" s="81">
        <f t="shared" si="37"/>
        <v>0</v>
      </c>
      <c r="L83" s="81">
        <f t="shared" si="55"/>
        <v>0</v>
      </c>
      <c r="M83" s="81">
        <f t="shared" si="38"/>
        <v>0</v>
      </c>
      <c r="N83" s="81">
        <f t="shared" si="56"/>
        <v>0</v>
      </c>
      <c r="O83" s="81">
        <f t="shared" si="39"/>
        <v>0</v>
      </c>
      <c r="P83" s="81">
        <f t="shared" si="57"/>
        <v>0</v>
      </c>
      <c r="Q83" s="81">
        <f t="shared" si="40"/>
        <v>0</v>
      </c>
      <c r="R83" s="81">
        <f t="shared" si="58"/>
        <v>0</v>
      </c>
      <c r="S83" s="81">
        <f t="shared" si="41"/>
        <v>0</v>
      </c>
      <c r="T83" s="81">
        <f t="shared" si="59"/>
        <v>0</v>
      </c>
      <c r="U83" s="81">
        <f t="shared" si="42"/>
        <v>0</v>
      </c>
      <c r="V83" s="81">
        <f t="shared" si="60"/>
        <v>0</v>
      </c>
      <c r="W83" s="81">
        <f t="shared" si="43"/>
        <v>0</v>
      </c>
      <c r="X83" s="81">
        <f t="shared" si="61"/>
        <v>0</v>
      </c>
      <c r="Y83" s="81">
        <f t="shared" si="44"/>
        <v>0</v>
      </c>
      <c r="Z83" s="81">
        <f t="shared" si="33"/>
        <v>0</v>
      </c>
      <c r="AA83" s="81">
        <f t="shared" si="45"/>
        <v>0</v>
      </c>
      <c r="AB83" s="81">
        <f t="shared" si="32"/>
        <v>0</v>
      </c>
      <c r="AC83" s="81">
        <f t="shared" si="46"/>
        <v>0</v>
      </c>
      <c r="AD83" s="81">
        <f t="shared" si="62"/>
        <v>0</v>
      </c>
      <c r="AE83" s="81">
        <f t="shared" si="47"/>
        <v>0</v>
      </c>
      <c r="AF83" s="81">
        <f t="shared" si="63"/>
        <v>0</v>
      </c>
      <c r="AG83" s="81">
        <f t="shared" si="48"/>
        <v>0</v>
      </c>
    </row>
    <row r="84" spans="1:33" ht="15.5" x14ac:dyDescent="0.35">
      <c r="A84" s="57">
        <v>72</v>
      </c>
      <c r="B84" s="80">
        <f t="shared" si="49"/>
        <v>0</v>
      </c>
      <c r="C84" s="81">
        <f t="shared" si="50"/>
        <v>0</v>
      </c>
      <c r="D84" s="81">
        <f t="shared" si="51"/>
        <v>0</v>
      </c>
      <c r="E84" s="81">
        <f t="shared" si="34"/>
        <v>0</v>
      </c>
      <c r="F84" s="81">
        <f t="shared" si="52"/>
        <v>0</v>
      </c>
      <c r="G84" s="81">
        <f t="shared" si="35"/>
        <v>0</v>
      </c>
      <c r="H84" s="81">
        <f t="shared" si="53"/>
        <v>0</v>
      </c>
      <c r="I84" s="81">
        <f t="shared" si="36"/>
        <v>0</v>
      </c>
      <c r="J84" s="81">
        <f t="shared" si="54"/>
        <v>0</v>
      </c>
      <c r="K84" s="81">
        <f t="shared" si="37"/>
        <v>0</v>
      </c>
      <c r="L84" s="81">
        <f t="shared" si="55"/>
        <v>0</v>
      </c>
      <c r="M84" s="81">
        <f t="shared" si="38"/>
        <v>0</v>
      </c>
      <c r="N84" s="81">
        <f t="shared" si="56"/>
        <v>0</v>
      </c>
      <c r="O84" s="81">
        <f t="shared" si="39"/>
        <v>0</v>
      </c>
      <c r="P84" s="81">
        <f t="shared" si="57"/>
        <v>0</v>
      </c>
      <c r="Q84" s="81">
        <f t="shared" si="40"/>
        <v>0</v>
      </c>
      <c r="R84" s="81">
        <f t="shared" si="58"/>
        <v>0</v>
      </c>
      <c r="S84" s="81">
        <f t="shared" si="41"/>
        <v>0</v>
      </c>
      <c r="T84" s="81">
        <f t="shared" si="59"/>
        <v>0</v>
      </c>
      <c r="U84" s="81">
        <f t="shared" si="42"/>
        <v>0</v>
      </c>
      <c r="V84" s="81">
        <f t="shared" si="60"/>
        <v>0</v>
      </c>
      <c r="W84" s="81">
        <f t="shared" si="43"/>
        <v>0</v>
      </c>
      <c r="X84" s="81">
        <f t="shared" si="61"/>
        <v>0</v>
      </c>
      <c r="Y84" s="81">
        <f t="shared" si="44"/>
        <v>0</v>
      </c>
      <c r="Z84" s="81">
        <f t="shared" si="33"/>
        <v>0</v>
      </c>
      <c r="AA84" s="81">
        <f t="shared" si="45"/>
        <v>0</v>
      </c>
      <c r="AB84" s="81">
        <f t="shared" si="32"/>
        <v>0</v>
      </c>
      <c r="AC84" s="81">
        <f t="shared" si="46"/>
        <v>0</v>
      </c>
      <c r="AD84" s="81">
        <f t="shared" si="62"/>
        <v>0</v>
      </c>
      <c r="AE84" s="81">
        <f t="shared" si="47"/>
        <v>0</v>
      </c>
      <c r="AF84" s="81">
        <f t="shared" si="63"/>
        <v>0</v>
      </c>
      <c r="AG84" s="81">
        <f t="shared" si="48"/>
        <v>0</v>
      </c>
    </row>
    <row r="85" spans="1:33" ht="15.5" x14ac:dyDescent="0.35">
      <c r="A85" s="57">
        <v>73</v>
      </c>
      <c r="B85" s="80">
        <f t="shared" si="49"/>
        <v>0</v>
      </c>
      <c r="C85" s="81">
        <f t="shared" si="50"/>
        <v>0</v>
      </c>
      <c r="D85" s="81">
        <f t="shared" si="51"/>
        <v>0</v>
      </c>
      <c r="E85" s="81">
        <f t="shared" si="34"/>
        <v>0</v>
      </c>
      <c r="F85" s="81">
        <f t="shared" si="52"/>
        <v>0</v>
      </c>
      <c r="G85" s="81">
        <f t="shared" si="35"/>
        <v>0</v>
      </c>
      <c r="H85" s="81">
        <f t="shared" si="53"/>
        <v>0</v>
      </c>
      <c r="I85" s="81">
        <f t="shared" si="36"/>
        <v>0</v>
      </c>
      <c r="J85" s="81">
        <f t="shared" si="54"/>
        <v>0</v>
      </c>
      <c r="K85" s="81">
        <f t="shared" si="37"/>
        <v>0</v>
      </c>
      <c r="L85" s="81">
        <f t="shared" si="55"/>
        <v>0</v>
      </c>
      <c r="M85" s="81">
        <f t="shared" si="38"/>
        <v>0</v>
      </c>
      <c r="N85" s="81">
        <f t="shared" si="56"/>
        <v>0</v>
      </c>
      <c r="O85" s="81">
        <f t="shared" si="39"/>
        <v>0</v>
      </c>
      <c r="P85" s="81">
        <f t="shared" si="57"/>
        <v>0</v>
      </c>
      <c r="Q85" s="81">
        <f t="shared" si="40"/>
        <v>0</v>
      </c>
      <c r="R85" s="81">
        <f t="shared" si="58"/>
        <v>0</v>
      </c>
      <c r="S85" s="81">
        <f t="shared" si="41"/>
        <v>0</v>
      </c>
      <c r="T85" s="81">
        <f t="shared" si="59"/>
        <v>0</v>
      </c>
      <c r="U85" s="81">
        <f t="shared" si="42"/>
        <v>0</v>
      </c>
      <c r="V85" s="81">
        <f t="shared" si="60"/>
        <v>0</v>
      </c>
      <c r="W85" s="81">
        <f t="shared" si="43"/>
        <v>0</v>
      </c>
      <c r="X85" s="81">
        <f t="shared" si="61"/>
        <v>0</v>
      </c>
      <c r="Y85" s="81">
        <f t="shared" si="44"/>
        <v>0</v>
      </c>
      <c r="Z85" s="81">
        <f t="shared" si="33"/>
        <v>0</v>
      </c>
      <c r="AA85" s="81">
        <f t="shared" si="45"/>
        <v>0</v>
      </c>
      <c r="AB85" s="81">
        <f t="shared" si="32"/>
        <v>0</v>
      </c>
      <c r="AC85" s="81">
        <f t="shared" si="46"/>
        <v>0</v>
      </c>
      <c r="AD85" s="81">
        <f t="shared" si="62"/>
        <v>0</v>
      </c>
      <c r="AE85" s="81">
        <f t="shared" si="47"/>
        <v>0</v>
      </c>
      <c r="AF85" s="81">
        <f t="shared" si="63"/>
        <v>0</v>
      </c>
      <c r="AG85" s="81">
        <f t="shared" si="48"/>
        <v>0</v>
      </c>
    </row>
    <row r="86" spans="1:33" ht="15.5" x14ac:dyDescent="0.35">
      <c r="A86" s="57">
        <v>74</v>
      </c>
      <c r="B86" s="80">
        <f t="shared" si="49"/>
        <v>0</v>
      </c>
      <c r="C86" s="81">
        <f t="shared" si="50"/>
        <v>0</v>
      </c>
      <c r="D86" s="81">
        <f t="shared" si="51"/>
        <v>0</v>
      </c>
      <c r="E86" s="81">
        <f t="shared" si="34"/>
        <v>0</v>
      </c>
      <c r="F86" s="81">
        <f t="shared" si="52"/>
        <v>0</v>
      </c>
      <c r="G86" s="81">
        <f t="shared" si="35"/>
        <v>0</v>
      </c>
      <c r="H86" s="81">
        <f t="shared" si="53"/>
        <v>0</v>
      </c>
      <c r="I86" s="81">
        <f t="shared" si="36"/>
        <v>0</v>
      </c>
      <c r="J86" s="81">
        <f t="shared" si="54"/>
        <v>0</v>
      </c>
      <c r="K86" s="81">
        <f t="shared" si="37"/>
        <v>0</v>
      </c>
      <c r="L86" s="81">
        <f t="shared" si="55"/>
        <v>0</v>
      </c>
      <c r="M86" s="81">
        <f t="shared" si="38"/>
        <v>0</v>
      </c>
      <c r="N86" s="81">
        <f t="shared" si="56"/>
        <v>0</v>
      </c>
      <c r="O86" s="81">
        <f t="shared" si="39"/>
        <v>0</v>
      </c>
      <c r="P86" s="81">
        <f t="shared" si="57"/>
        <v>0</v>
      </c>
      <c r="Q86" s="81">
        <f t="shared" si="40"/>
        <v>0</v>
      </c>
      <c r="R86" s="81">
        <f t="shared" si="58"/>
        <v>0</v>
      </c>
      <c r="S86" s="81">
        <f t="shared" si="41"/>
        <v>0</v>
      </c>
      <c r="T86" s="81">
        <f t="shared" si="59"/>
        <v>0</v>
      </c>
      <c r="U86" s="81">
        <f t="shared" si="42"/>
        <v>0</v>
      </c>
      <c r="V86" s="81">
        <f t="shared" si="60"/>
        <v>0</v>
      </c>
      <c r="W86" s="81">
        <f t="shared" si="43"/>
        <v>0</v>
      </c>
      <c r="X86" s="81">
        <f t="shared" si="61"/>
        <v>0</v>
      </c>
      <c r="Y86" s="81">
        <f t="shared" si="44"/>
        <v>0</v>
      </c>
      <c r="Z86" s="81">
        <f t="shared" si="33"/>
        <v>0</v>
      </c>
      <c r="AA86" s="81">
        <f t="shared" si="45"/>
        <v>0</v>
      </c>
      <c r="AB86" s="81">
        <f t="shared" si="32"/>
        <v>0</v>
      </c>
      <c r="AC86" s="81">
        <f t="shared" si="46"/>
        <v>0</v>
      </c>
      <c r="AD86" s="81">
        <f t="shared" si="62"/>
        <v>0</v>
      </c>
      <c r="AE86" s="81">
        <f t="shared" si="47"/>
        <v>0</v>
      </c>
      <c r="AF86" s="81">
        <f t="shared" si="63"/>
        <v>0</v>
      </c>
      <c r="AG86" s="81">
        <f t="shared" si="48"/>
        <v>0</v>
      </c>
    </row>
    <row r="87" spans="1:33" ht="15.5" x14ac:dyDescent="0.35">
      <c r="A87" s="57">
        <v>75</v>
      </c>
      <c r="B87" s="80">
        <f t="shared" si="49"/>
        <v>0</v>
      </c>
      <c r="C87" s="81">
        <f t="shared" si="50"/>
        <v>0</v>
      </c>
      <c r="D87" s="81">
        <f t="shared" si="51"/>
        <v>0</v>
      </c>
      <c r="E87" s="81">
        <f t="shared" si="34"/>
        <v>0</v>
      </c>
      <c r="F87" s="81">
        <f t="shared" si="52"/>
        <v>0</v>
      </c>
      <c r="G87" s="81">
        <f t="shared" si="35"/>
        <v>0</v>
      </c>
      <c r="H87" s="81">
        <f t="shared" si="53"/>
        <v>0</v>
      </c>
      <c r="I87" s="81">
        <f t="shared" si="36"/>
        <v>0</v>
      </c>
      <c r="J87" s="81">
        <f t="shared" si="54"/>
        <v>0</v>
      </c>
      <c r="K87" s="81">
        <f t="shared" si="37"/>
        <v>0</v>
      </c>
      <c r="L87" s="81">
        <f t="shared" si="55"/>
        <v>0</v>
      </c>
      <c r="M87" s="81">
        <f t="shared" si="38"/>
        <v>0</v>
      </c>
      <c r="N87" s="81">
        <f t="shared" si="56"/>
        <v>0</v>
      </c>
      <c r="O87" s="81">
        <f t="shared" si="39"/>
        <v>0</v>
      </c>
      <c r="P87" s="81">
        <f t="shared" si="57"/>
        <v>0</v>
      </c>
      <c r="Q87" s="81">
        <f t="shared" si="40"/>
        <v>0</v>
      </c>
      <c r="R87" s="81">
        <f t="shared" si="58"/>
        <v>0</v>
      </c>
      <c r="S87" s="81">
        <f t="shared" si="41"/>
        <v>0</v>
      </c>
      <c r="T87" s="81">
        <f t="shared" si="59"/>
        <v>0</v>
      </c>
      <c r="U87" s="81">
        <f t="shared" si="42"/>
        <v>0</v>
      </c>
      <c r="V87" s="81">
        <f t="shared" si="60"/>
        <v>0</v>
      </c>
      <c r="W87" s="81">
        <f t="shared" si="43"/>
        <v>0</v>
      </c>
      <c r="X87" s="81">
        <f t="shared" si="61"/>
        <v>0</v>
      </c>
      <c r="Y87" s="81">
        <f t="shared" si="44"/>
        <v>0</v>
      </c>
      <c r="Z87" s="81">
        <f t="shared" si="33"/>
        <v>0</v>
      </c>
      <c r="AA87" s="81">
        <f t="shared" si="45"/>
        <v>0</v>
      </c>
      <c r="AB87" s="81">
        <f t="shared" si="32"/>
        <v>0</v>
      </c>
      <c r="AC87" s="81">
        <f t="shared" si="46"/>
        <v>0</v>
      </c>
      <c r="AD87" s="81">
        <f t="shared" si="62"/>
        <v>0</v>
      </c>
      <c r="AE87" s="81">
        <f t="shared" si="47"/>
        <v>0</v>
      </c>
      <c r="AF87" s="81">
        <f t="shared" si="63"/>
        <v>0</v>
      </c>
      <c r="AG87" s="81">
        <f t="shared" si="48"/>
        <v>0</v>
      </c>
    </row>
    <row r="88" spans="1:33" ht="15.5" x14ac:dyDescent="0.35">
      <c r="A88" s="57">
        <v>76</v>
      </c>
      <c r="B88" s="80">
        <f t="shared" si="49"/>
        <v>0</v>
      </c>
      <c r="C88" s="81">
        <f t="shared" si="50"/>
        <v>0</v>
      </c>
      <c r="D88" s="81">
        <f t="shared" si="51"/>
        <v>0</v>
      </c>
      <c r="E88" s="81">
        <f t="shared" si="34"/>
        <v>0</v>
      </c>
      <c r="F88" s="81">
        <f t="shared" si="52"/>
        <v>0</v>
      </c>
      <c r="G88" s="81">
        <f t="shared" si="35"/>
        <v>0</v>
      </c>
      <c r="H88" s="81">
        <f t="shared" si="53"/>
        <v>0</v>
      </c>
      <c r="I88" s="81">
        <f t="shared" si="36"/>
        <v>0</v>
      </c>
      <c r="J88" s="81">
        <f t="shared" si="54"/>
        <v>0</v>
      </c>
      <c r="K88" s="81">
        <f t="shared" si="37"/>
        <v>0</v>
      </c>
      <c r="L88" s="81">
        <f t="shared" si="55"/>
        <v>0</v>
      </c>
      <c r="M88" s="81">
        <f t="shared" si="38"/>
        <v>0</v>
      </c>
      <c r="N88" s="81">
        <f t="shared" si="56"/>
        <v>0</v>
      </c>
      <c r="O88" s="81">
        <f t="shared" si="39"/>
        <v>0</v>
      </c>
      <c r="P88" s="81">
        <f t="shared" si="57"/>
        <v>0</v>
      </c>
      <c r="Q88" s="81">
        <f t="shared" si="40"/>
        <v>0</v>
      </c>
      <c r="R88" s="81">
        <f t="shared" si="58"/>
        <v>0</v>
      </c>
      <c r="S88" s="81">
        <f t="shared" si="41"/>
        <v>0</v>
      </c>
      <c r="T88" s="81">
        <f t="shared" si="59"/>
        <v>0</v>
      </c>
      <c r="U88" s="81">
        <f t="shared" si="42"/>
        <v>0</v>
      </c>
      <c r="V88" s="81">
        <f t="shared" si="60"/>
        <v>0</v>
      </c>
      <c r="W88" s="81">
        <f t="shared" si="43"/>
        <v>0</v>
      </c>
      <c r="X88" s="81">
        <f t="shared" si="61"/>
        <v>0</v>
      </c>
      <c r="Y88" s="81">
        <f t="shared" si="44"/>
        <v>0</v>
      </c>
      <c r="Z88" s="81">
        <f t="shared" si="33"/>
        <v>0</v>
      </c>
      <c r="AA88" s="81">
        <f t="shared" si="45"/>
        <v>0</v>
      </c>
      <c r="AB88" s="81">
        <f t="shared" si="32"/>
        <v>0</v>
      </c>
      <c r="AC88" s="81">
        <f t="shared" si="46"/>
        <v>0</v>
      </c>
      <c r="AD88" s="81">
        <f t="shared" si="62"/>
        <v>0</v>
      </c>
      <c r="AE88" s="81">
        <f t="shared" si="47"/>
        <v>0</v>
      </c>
      <c r="AF88" s="81">
        <f t="shared" si="63"/>
        <v>0</v>
      </c>
      <c r="AG88" s="81">
        <f t="shared" si="48"/>
        <v>0</v>
      </c>
    </row>
    <row r="89" spans="1:33" ht="15.5" x14ac:dyDescent="0.35">
      <c r="A89" s="57">
        <v>77</v>
      </c>
      <c r="B89" s="80">
        <f t="shared" si="49"/>
        <v>0</v>
      </c>
      <c r="C89" s="81">
        <f t="shared" si="50"/>
        <v>0</v>
      </c>
      <c r="D89" s="81">
        <f t="shared" si="51"/>
        <v>0</v>
      </c>
      <c r="E89" s="81">
        <f t="shared" si="34"/>
        <v>0</v>
      </c>
      <c r="F89" s="81">
        <f t="shared" si="52"/>
        <v>0</v>
      </c>
      <c r="G89" s="81">
        <f t="shared" si="35"/>
        <v>0</v>
      </c>
      <c r="H89" s="81">
        <f t="shared" si="53"/>
        <v>0</v>
      </c>
      <c r="I89" s="81">
        <f t="shared" si="36"/>
        <v>0</v>
      </c>
      <c r="J89" s="81">
        <f t="shared" si="54"/>
        <v>0</v>
      </c>
      <c r="K89" s="81">
        <f t="shared" si="37"/>
        <v>0</v>
      </c>
      <c r="L89" s="81">
        <f t="shared" si="55"/>
        <v>0</v>
      </c>
      <c r="M89" s="81">
        <f t="shared" si="38"/>
        <v>0</v>
      </c>
      <c r="N89" s="81">
        <f t="shared" si="56"/>
        <v>0</v>
      </c>
      <c r="O89" s="81">
        <f t="shared" si="39"/>
        <v>0</v>
      </c>
      <c r="P89" s="81">
        <f t="shared" si="57"/>
        <v>0</v>
      </c>
      <c r="Q89" s="81">
        <f t="shared" si="40"/>
        <v>0</v>
      </c>
      <c r="R89" s="81">
        <f t="shared" si="58"/>
        <v>0</v>
      </c>
      <c r="S89" s="81">
        <f t="shared" si="41"/>
        <v>0</v>
      </c>
      <c r="T89" s="81">
        <f t="shared" si="59"/>
        <v>0</v>
      </c>
      <c r="U89" s="81">
        <f t="shared" si="42"/>
        <v>0</v>
      </c>
      <c r="V89" s="81">
        <f t="shared" si="60"/>
        <v>0</v>
      </c>
      <c r="W89" s="81">
        <f t="shared" si="43"/>
        <v>0</v>
      </c>
      <c r="X89" s="81">
        <f t="shared" si="61"/>
        <v>0</v>
      </c>
      <c r="Y89" s="81">
        <f t="shared" si="44"/>
        <v>0</v>
      </c>
      <c r="Z89" s="81">
        <f t="shared" si="33"/>
        <v>0</v>
      </c>
      <c r="AA89" s="81">
        <f t="shared" si="45"/>
        <v>0</v>
      </c>
      <c r="AB89" s="81">
        <f t="shared" si="32"/>
        <v>0</v>
      </c>
      <c r="AC89" s="81">
        <f t="shared" si="46"/>
        <v>0</v>
      </c>
      <c r="AD89" s="81">
        <f t="shared" si="62"/>
        <v>0</v>
      </c>
      <c r="AE89" s="81">
        <f t="shared" si="47"/>
        <v>0</v>
      </c>
      <c r="AF89" s="81">
        <f t="shared" si="63"/>
        <v>0</v>
      </c>
      <c r="AG89" s="81">
        <f t="shared" si="48"/>
        <v>0</v>
      </c>
    </row>
    <row r="90" spans="1:33" ht="15.5" x14ac:dyDescent="0.35">
      <c r="A90" s="57">
        <v>78</v>
      </c>
      <c r="B90" s="80">
        <f t="shared" si="49"/>
        <v>0</v>
      </c>
      <c r="C90" s="81">
        <f t="shared" si="50"/>
        <v>0</v>
      </c>
      <c r="D90" s="81">
        <f t="shared" si="51"/>
        <v>0</v>
      </c>
      <c r="E90" s="81">
        <f t="shared" si="34"/>
        <v>0</v>
      </c>
      <c r="F90" s="81">
        <f t="shared" si="52"/>
        <v>0</v>
      </c>
      <c r="G90" s="81">
        <f t="shared" si="35"/>
        <v>0</v>
      </c>
      <c r="H90" s="81">
        <f t="shared" si="53"/>
        <v>0</v>
      </c>
      <c r="I90" s="81">
        <f t="shared" si="36"/>
        <v>0</v>
      </c>
      <c r="J90" s="81">
        <f t="shared" si="54"/>
        <v>0</v>
      </c>
      <c r="K90" s="81">
        <f t="shared" si="37"/>
        <v>0</v>
      </c>
      <c r="L90" s="81">
        <f t="shared" si="55"/>
        <v>0</v>
      </c>
      <c r="M90" s="81">
        <f t="shared" si="38"/>
        <v>0</v>
      </c>
      <c r="N90" s="81">
        <f t="shared" si="56"/>
        <v>0</v>
      </c>
      <c r="O90" s="81">
        <f t="shared" si="39"/>
        <v>0</v>
      </c>
      <c r="P90" s="81">
        <f t="shared" si="57"/>
        <v>0</v>
      </c>
      <c r="Q90" s="81">
        <f t="shared" si="40"/>
        <v>0</v>
      </c>
      <c r="R90" s="81">
        <f t="shared" si="58"/>
        <v>0</v>
      </c>
      <c r="S90" s="81">
        <f t="shared" si="41"/>
        <v>0</v>
      </c>
      <c r="T90" s="81">
        <f t="shared" si="59"/>
        <v>0</v>
      </c>
      <c r="U90" s="81">
        <f t="shared" si="42"/>
        <v>0</v>
      </c>
      <c r="V90" s="81">
        <f t="shared" si="60"/>
        <v>0</v>
      </c>
      <c r="W90" s="81">
        <f t="shared" si="43"/>
        <v>0</v>
      </c>
      <c r="X90" s="81">
        <f t="shared" si="61"/>
        <v>0</v>
      </c>
      <c r="Y90" s="81">
        <f t="shared" si="44"/>
        <v>0</v>
      </c>
      <c r="Z90" s="81">
        <f t="shared" si="33"/>
        <v>0</v>
      </c>
      <c r="AA90" s="81">
        <f t="shared" si="45"/>
        <v>0</v>
      </c>
      <c r="AB90" s="81">
        <f t="shared" si="32"/>
        <v>0</v>
      </c>
      <c r="AC90" s="81">
        <f t="shared" si="46"/>
        <v>0</v>
      </c>
      <c r="AD90" s="81">
        <f t="shared" si="62"/>
        <v>0</v>
      </c>
      <c r="AE90" s="81">
        <f t="shared" si="47"/>
        <v>0</v>
      </c>
      <c r="AF90" s="81">
        <f t="shared" si="63"/>
        <v>0</v>
      </c>
      <c r="AG90" s="81">
        <f t="shared" si="48"/>
        <v>0</v>
      </c>
    </row>
    <row r="91" spans="1:33" ht="15.5" x14ac:dyDescent="0.35">
      <c r="A91" s="57">
        <v>79</v>
      </c>
      <c r="B91" s="80">
        <f t="shared" si="49"/>
        <v>0</v>
      </c>
      <c r="C91" s="81">
        <f t="shared" si="50"/>
        <v>0</v>
      </c>
      <c r="D91" s="81">
        <f t="shared" si="51"/>
        <v>0</v>
      </c>
      <c r="E91" s="81">
        <f t="shared" si="34"/>
        <v>0</v>
      </c>
      <c r="F91" s="81">
        <f t="shared" si="52"/>
        <v>0</v>
      </c>
      <c r="G91" s="81">
        <f t="shared" si="35"/>
        <v>0</v>
      </c>
      <c r="H91" s="81">
        <f t="shared" si="53"/>
        <v>0</v>
      </c>
      <c r="I91" s="81">
        <f t="shared" si="36"/>
        <v>0</v>
      </c>
      <c r="J91" s="81">
        <f t="shared" si="54"/>
        <v>0</v>
      </c>
      <c r="K91" s="81">
        <f t="shared" si="37"/>
        <v>0</v>
      </c>
      <c r="L91" s="81">
        <f t="shared" si="55"/>
        <v>0</v>
      </c>
      <c r="M91" s="81">
        <f t="shared" si="38"/>
        <v>0</v>
      </c>
      <c r="N91" s="81">
        <f t="shared" si="56"/>
        <v>0</v>
      </c>
      <c r="O91" s="81">
        <f t="shared" si="39"/>
        <v>0</v>
      </c>
      <c r="P91" s="81">
        <f t="shared" si="57"/>
        <v>0</v>
      </c>
      <c r="Q91" s="81">
        <f t="shared" si="40"/>
        <v>0</v>
      </c>
      <c r="R91" s="81">
        <f t="shared" si="58"/>
        <v>0</v>
      </c>
      <c r="S91" s="81">
        <f t="shared" si="41"/>
        <v>0</v>
      </c>
      <c r="T91" s="81">
        <f t="shared" si="59"/>
        <v>0</v>
      </c>
      <c r="U91" s="81">
        <f t="shared" si="42"/>
        <v>0</v>
      </c>
      <c r="V91" s="81">
        <f t="shared" si="60"/>
        <v>0</v>
      </c>
      <c r="W91" s="81">
        <f t="shared" si="43"/>
        <v>0</v>
      </c>
      <c r="X91" s="81">
        <f t="shared" si="61"/>
        <v>0</v>
      </c>
      <c r="Y91" s="81">
        <f t="shared" si="44"/>
        <v>0</v>
      </c>
      <c r="Z91" s="81">
        <f t="shared" si="33"/>
        <v>0</v>
      </c>
      <c r="AA91" s="81">
        <f t="shared" si="45"/>
        <v>0</v>
      </c>
      <c r="AB91" s="81">
        <f t="shared" si="32"/>
        <v>0</v>
      </c>
      <c r="AC91" s="81">
        <f t="shared" si="46"/>
        <v>0</v>
      </c>
      <c r="AD91" s="81">
        <f t="shared" si="62"/>
        <v>0</v>
      </c>
      <c r="AE91" s="81">
        <f t="shared" si="47"/>
        <v>0</v>
      </c>
      <c r="AF91" s="81">
        <f t="shared" si="63"/>
        <v>0</v>
      </c>
      <c r="AG91" s="81">
        <f t="shared" si="48"/>
        <v>0</v>
      </c>
    </row>
    <row r="92" spans="1:33" ht="15.5" x14ac:dyDescent="0.35">
      <c r="A92" s="57">
        <v>80</v>
      </c>
      <c r="B92" s="80">
        <f t="shared" si="49"/>
        <v>0</v>
      </c>
      <c r="C92" s="81">
        <f t="shared" si="50"/>
        <v>0</v>
      </c>
      <c r="D92" s="81">
        <f t="shared" si="51"/>
        <v>0</v>
      </c>
      <c r="E92" s="81">
        <f t="shared" si="34"/>
        <v>0</v>
      </c>
      <c r="F92" s="81">
        <f t="shared" si="52"/>
        <v>0</v>
      </c>
      <c r="G92" s="81">
        <f t="shared" si="35"/>
        <v>0</v>
      </c>
      <c r="H92" s="81">
        <f t="shared" si="53"/>
        <v>0</v>
      </c>
      <c r="I92" s="81">
        <f t="shared" si="36"/>
        <v>0</v>
      </c>
      <c r="J92" s="81">
        <f t="shared" si="54"/>
        <v>0</v>
      </c>
      <c r="K92" s="81">
        <f t="shared" si="37"/>
        <v>0</v>
      </c>
      <c r="L92" s="81">
        <f t="shared" si="55"/>
        <v>0</v>
      </c>
      <c r="M92" s="81">
        <f t="shared" si="38"/>
        <v>0</v>
      </c>
      <c r="N92" s="81">
        <f t="shared" si="56"/>
        <v>0</v>
      </c>
      <c r="O92" s="81">
        <f t="shared" si="39"/>
        <v>0</v>
      </c>
      <c r="P92" s="81">
        <f t="shared" si="57"/>
        <v>0</v>
      </c>
      <c r="Q92" s="81">
        <f t="shared" si="40"/>
        <v>0</v>
      </c>
      <c r="R92" s="81">
        <f t="shared" si="58"/>
        <v>0</v>
      </c>
      <c r="S92" s="81">
        <f t="shared" si="41"/>
        <v>0</v>
      </c>
      <c r="T92" s="81">
        <f t="shared" si="59"/>
        <v>0</v>
      </c>
      <c r="U92" s="81">
        <f t="shared" si="42"/>
        <v>0</v>
      </c>
      <c r="V92" s="81">
        <f t="shared" si="60"/>
        <v>0</v>
      </c>
      <c r="W92" s="81">
        <f t="shared" si="43"/>
        <v>0</v>
      </c>
      <c r="X92" s="81">
        <f t="shared" si="61"/>
        <v>0</v>
      </c>
      <c r="Y92" s="81">
        <f t="shared" si="44"/>
        <v>0</v>
      </c>
      <c r="Z92" s="81">
        <f t="shared" si="33"/>
        <v>0</v>
      </c>
      <c r="AA92" s="81">
        <f t="shared" si="45"/>
        <v>0</v>
      </c>
      <c r="AB92" s="81">
        <f t="shared" si="32"/>
        <v>0</v>
      </c>
      <c r="AC92" s="81">
        <f t="shared" si="46"/>
        <v>0</v>
      </c>
      <c r="AD92" s="81">
        <f t="shared" si="62"/>
        <v>0</v>
      </c>
      <c r="AE92" s="81">
        <f t="shared" si="47"/>
        <v>0</v>
      </c>
      <c r="AF92" s="81">
        <f t="shared" si="63"/>
        <v>0</v>
      </c>
      <c r="AG92" s="81">
        <f t="shared" si="48"/>
        <v>0</v>
      </c>
    </row>
    <row r="93" spans="1:33" ht="15.5" x14ac:dyDescent="0.35">
      <c r="A93" s="57">
        <v>81</v>
      </c>
      <c r="B93" s="80">
        <f t="shared" si="49"/>
        <v>0</v>
      </c>
      <c r="C93" s="81">
        <f t="shared" si="50"/>
        <v>0</v>
      </c>
      <c r="D93" s="81">
        <f t="shared" si="51"/>
        <v>0</v>
      </c>
      <c r="E93" s="81">
        <f t="shared" si="34"/>
        <v>0</v>
      </c>
      <c r="F93" s="81">
        <f t="shared" si="52"/>
        <v>0</v>
      </c>
      <c r="G93" s="81">
        <f t="shared" si="35"/>
        <v>0</v>
      </c>
      <c r="H93" s="81">
        <f t="shared" si="53"/>
        <v>0</v>
      </c>
      <c r="I93" s="81">
        <f t="shared" si="36"/>
        <v>0</v>
      </c>
      <c r="J93" s="81">
        <f t="shared" si="54"/>
        <v>0</v>
      </c>
      <c r="K93" s="81">
        <f t="shared" si="37"/>
        <v>0</v>
      </c>
      <c r="L93" s="81">
        <f t="shared" si="55"/>
        <v>0</v>
      </c>
      <c r="M93" s="81">
        <f t="shared" si="38"/>
        <v>0</v>
      </c>
      <c r="N93" s="81">
        <f t="shared" si="56"/>
        <v>0</v>
      </c>
      <c r="O93" s="81">
        <f t="shared" si="39"/>
        <v>0</v>
      </c>
      <c r="P93" s="81">
        <f t="shared" si="57"/>
        <v>0</v>
      </c>
      <c r="Q93" s="81">
        <f t="shared" si="40"/>
        <v>0</v>
      </c>
      <c r="R93" s="81">
        <f t="shared" si="58"/>
        <v>0</v>
      </c>
      <c r="S93" s="81">
        <f t="shared" si="41"/>
        <v>0</v>
      </c>
      <c r="T93" s="81">
        <f t="shared" si="59"/>
        <v>0</v>
      </c>
      <c r="U93" s="81">
        <f t="shared" si="42"/>
        <v>0</v>
      </c>
      <c r="V93" s="81">
        <f t="shared" si="60"/>
        <v>0</v>
      </c>
      <c r="W93" s="81">
        <f t="shared" si="43"/>
        <v>0</v>
      </c>
      <c r="X93" s="81">
        <f t="shared" si="61"/>
        <v>0</v>
      </c>
      <c r="Y93" s="81">
        <f t="shared" si="44"/>
        <v>0</v>
      </c>
      <c r="Z93" s="81">
        <f t="shared" si="33"/>
        <v>0</v>
      </c>
      <c r="AA93" s="81">
        <f t="shared" si="45"/>
        <v>0</v>
      </c>
      <c r="AB93" s="81">
        <f t="shared" si="32"/>
        <v>0</v>
      </c>
      <c r="AC93" s="81">
        <f t="shared" si="46"/>
        <v>0</v>
      </c>
      <c r="AD93" s="81">
        <f t="shared" si="62"/>
        <v>0</v>
      </c>
      <c r="AE93" s="81">
        <f t="shared" si="47"/>
        <v>0</v>
      </c>
      <c r="AF93" s="81">
        <f t="shared" si="63"/>
        <v>0</v>
      </c>
      <c r="AG93" s="81">
        <f t="shared" si="48"/>
        <v>0</v>
      </c>
    </row>
    <row r="94" spans="1:33" ht="15.5" x14ac:dyDescent="0.35">
      <c r="A94" s="57">
        <v>82</v>
      </c>
      <c r="B94" s="80">
        <f t="shared" si="49"/>
        <v>0</v>
      </c>
      <c r="C94" s="81">
        <f t="shared" si="50"/>
        <v>0</v>
      </c>
      <c r="D94" s="81">
        <f t="shared" si="51"/>
        <v>0</v>
      </c>
      <c r="E94" s="81">
        <f t="shared" si="34"/>
        <v>0</v>
      </c>
      <c r="F94" s="81">
        <f t="shared" si="52"/>
        <v>0</v>
      </c>
      <c r="G94" s="81">
        <f t="shared" si="35"/>
        <v>0</v>
      </c>
      <c r="H94" s="81">
        <f t="shared" si="53"/>
        <v>0</v>
      </c>
      <c r="I94" s="81">
        <f t="shared" si="36"/>
        <v>0</v>
      </c>
      <c r="J94" s="81">
        <f t="shared" si="54"/>
        <v>0</v>
      </c>
      <c r="K94" s="81">
        <f t="shared" si="37"/>
        <v>0</v>
      </c>
      <c r="L94" s="81">
        <f t="shared" si="55"/>
        <v>0</v>
      </c>
      <c r="M94" s="81">
        <f t="shared" si="38"/>
        <v>0</v>
      </c>
      <c r="N94" s="81">
        <f t="shared" si="56"/>
        <v>0</v>
      </c>
      <c r="O94" s="81">
        <f t="shared" si="39"/>
        <v>0</v>
      </c>
      <c r="P94" s="81">
        <f t="shared" si="57"/>
        <v>0</v>
      </c>
      <c r="Q94" s="81">
        <f t="shared" si="40"/>
        <v>0</v>
      </c>
      <c r="R94" s="81">
        <f t="shared" si="58"/>
        <v>0</v>
      </c>
      <c r="S94" s="81">
        <f t="shared" si="41"/>
        <v>0</v>
      </c>
      <c r="T94" s="81">
        <f t="shared" si="59"/>
        <v>0</v>
      </c>
      <c r="U94" s="81">
        <f t="shared" si="42"/>
        <v>0</v>
      </c>
      <c r="V94" s="81">
        <f t="shared" si="60"/>
        <v>0</v>
      </c>
      <c r="W94" s="81">
        <f t="shared" si="43"/>
        <v>0</v>
      </c>
      <c r="X94" s="81">
        <f t="shared" si="61"/>
        <v>0</v>
      </c>
      <c r="Y94" s="81">
        <f t="shared" si="44"/>
        <v>0</v>
      </c>
      <c r="Z94" s="81">
        <f t="shared" si="33"/>
        <v>0</v>
      </c>
      <c r="AA94" s="81">
        <f t="shared" si="45"/>
        <v>0</v>
      </c>
      <c r="AB94" s="81">
        <f t="shared" ref="AB94:AB132" si="64">IF(AND(((AC93-$H$2+Z94+X94+V94+T94-AC$9-AA$9-Y$9-W$9-U$9-S$9-Q$9-O$9-M$9-K$9-I$9-G$9-E$9-C$9)&lt;=0),AA94+Y94+W94+U94=0),AC93, IF(AND((AC93-AC$9-$H$2)&lt;=0, AA94=0),AC93,IF(AC$9&gt;=AC93, AC93, IF(AND(AA94=0,Y94=0,W94=0,U94=0), $H$2-Z94-X94-V94-T94+AC$9+AA$9+Y$9+W$9+U$9+S$9+Q$9+O$9+M$9+K$9+I$9+G$9+E$9+C$9,AC$9))))</f>
        <v>0</v>
      </c>
      <c r="AC94" s="81">
        <f t="shared" si="46"/>
        <v>0</v>
      </c>
      <c r="AD94" s="81">
        <f t="shared" si="62"/>
        <v>0</v>
      </c>
      <c r="AE94" s="81">
        <f t="shared" si="47"/>
        <v>0</v>
      </c>
      <c r="AF94" s="81">
        <f t="shared" si="63"/>
        <v>0</v>
      </c>
      <c r="AG94" s="81">
        <f t="shared" si="48"/>
        <v>0</v>
      </c>
    </row>
    <row r="95" spans="1:33" ht="15.5" x14ac:dyDescent="0.35">
      <c r="A95" s="57">
        <v>83</v>
      </c>
      <c r="B95" s="80">
        <f t="shared" si="49"/>
        <v>0</v>
      </c>
      <c r="C95" s="81">
        <f t="shared" si="50"/>
        <v>0</v>
      </c>
      <c r="D95" s="81">
        <f t="shared" si="51"/>
        <v>0</v>
      </c>
      <c r="E95" s="81">
        <f t="shared" si="34"/>
        <v>0</v>
      </c>
      <c r="F95" s="81">
        <f t="shared" si="52"/>
        <v>0</v>
      </c>
      <c r="G95" s="81">
        <f t="shared" si="35"/>
        <v>0</v>
      </c>
      <c r="H95" s="81">
        <f t="shared" si="53"/>
        <v>0</v>
      </c>
      <c r="I95" s="81">
        <f t="shared" si="36"/>
        <v>0</v>
      </c>
      <c r="J95" s="81">
        <f t="shared" si="54"/>
        <v>0</v>
      </c>
      <c r="K95" s="81">
        <f t="shared" si="37"/>
        <v>0</v>
      </c>
      <c r="L95" s="81">
        <f t="shared" si="55"/>
        <v>0</v>
      </c>
      <c r="M95" s="81">
        <f t="shared" si="38"/>
        <v>0</v>
      </c>
      <c r="N95" s="81">
        <f t="shared" si="56"/>
        <v>0</v>
      </c>
      <c r="O95" s="81">
        <f t="shared" si="39"/>
        <v>0</v>
      </c>
      <c r="P95" s="81">
        <f t="shared" si="57"/>
        <v>0</v>
      </c>
      <c r="Q95" s="81">
        <f t="shared" si="40"/>
        <v>0</v>
      </c>
      <c r="R95" s="81">
        <f t="shared" si="58"/>
        <v>0</v>
      </c>
      <c r="S95" s="81">
        <f t="shared" si="41"/>
        <v>0</v>
      </c>
      <c r="T95" s="81">
        <f t="shared" si="59"/>
        <v>0</v>
      </c>
      <c r="U95" s="81">
        <f t="shared" si="42"/>
        <v>0</v>
      </c>
      <c r="V95" s="81">
        <f t="shared" si="60"/>
        <v>0</v>
      </c>
      <c r="W95" s="81">
        <f t="shared" si="43"/>
        <v>0</v>
      </c>
      <c r="X95" s="81">
        <f t="shared" si="61"/>
        <v>0</v>
      </c>
      <c r="Y95" s="81">
        <f t="shared" si="44"/>
        <v>0</v>
      </c>
      <c r="Z95" s="81">
        <f t="shared" si="33"/>
        <v>0</v>
      </c>
      <c r="AA95" s="81">
        <f t="shared" si="45"/>
        <v>0</v>
      </c>
      <c r="AB95" s="81">
        <f t="shared" si="64"/>
        <v>0</v>
      </c>
      <c r="AC95" s="81">
        <f t="shared" si="46"/>
        <v>0</v>
      </c>
      <c r="AD95" s="81">
        <f t="shared" si="62"/>
        <v>0</v>
      </c>
      <c r="AE95" s="81">
        <f t="shared" si="47"/>
        <v>0</v>
      </c>
      <c r="AF95" s="81">
        <f t="shared" si="63"/>
        <v>0</v>
      </c>
      <c r="AG95" s="81">
        <f t="shared" si="48"/>
        <v>0</v>
      </c>
    </row>
    <row r="96" spans="1:33" ht="15.5" x14ac:dyDescent="0.35">
      <c r="A96" s="57">
        <v>84</v>
      </c>
      <c r="B96" s="80">
        <f t="shared" si="49"/>
        <v>0</v>
      </c>
      <c r="C96" s="81">
        <f t="shared" si="50"/>
        <v>0</v>
      </c>
      <c r="D96" s="81">
        <f t="shared" si="51"/>
        <v>0</v>
      </c>
      <c r="E96" s="81">
        <f t="shared" si="34"/>
        <v>0</v>
      </c>
      <c r="F96" s="81">
        <f t="shared" si="52"/>
        <v>0</v>
      </c>
      <c r="G96" s="81">
        <f t="shared" si="35"/>
        <v>0</v>
      </c>
      <c r="H96" s="81">
        <f t="shared" si="53"/>
        <v>0</v>
      </c>
      <c r="I96" s="81">
        <f t="shared" si="36"/>
        <v>0</v>
      </c>
      <c r="J96" s="81">
        <f t="shared" si="54"/>
        <v>0</v>
      </c>
      <c r="K96" s="81">
        <f t="shared" si="37"/>
        <v>0</v>
      </c>
      <c r="L96" s="81">
        <f t="shared" si="55"/>
        <v>0</v>
      </c>
      <c r="M96" s="81">
        <f t="shared" si="38"/>
        <v>0</v>
      </c>
      <c r="N96" s="81">
        <f t="shared" si="56"/>
        <v>0</v>
      </c>
      <c r="O96" s="81">
        <f t="shared" si="39"/>
        <v>0</v>
      </c>
      <c r="P96" s="81">
        <f t="shared" si="57"/>
        <v>0</v>
      </c>
      <c r="Q96" s="81">
        <f t="shared" si="40"/>
        <v>0</v>
      </c>
      <c r="R96" s="81">
        <f t="shared" si="58"/>
        <v>0</v>
      </c>
      <c r="S96" s="81">
        <f t="shared" si="41"/>
        <v>0</v>
      </c>
      <c r="T96" s="81">
        <f t="shared" si="59"/>
        <v>0</v>
      </c>
      <c r="U96" s="81">
        <f t="shared" si="42"/>
        <v>0</v>
      </c>
      <c r="V96" s="81">
        <f t="shared" si="60"/>
        <v>0</v>
      </c>
      <c r="W96" s="81">
        <f t="shared" si="43"/>
        <v>0</v>
      </c>
      <c r="X96" s="81">
        <f t="shared" si="61"/>
        <v>0</v>
      </c>
      <c r="Y96" s="81">
        <f t="shared" si="44"/>
        <v>0</v>
      </c>
      <c r="Z96" s="81">
        <f t="shared" si="33"/>
        <v>0</v>
      </c>
      <c r="AA96" s="81">
        <f t="shared" si="45"/>
        <v>0</v>
      </c>
      <c r="AB96" s="81">
        <f t="shared" si="64"/>
        <v>0</v>
      </c>
      <c r="AC96" s="81">
        <f t="shared" si="46"/>
        <v>0</v>
      </c>
      <c r="AD96" s="81">
        <f t="shared" si="62"/>
        <v>0</v>
      </c>
      <c r="AE96" s="81">
        <f t="shared" si="47"/>
        <v>0</v>
      </c>
      <c r="AF96" s="81">
        <f t="shared" si="63"/>
        <v>0</v>
      </c>
      <c r="AG96" s="81">
        <f t="shared" si="48"/>
        <v>0</v>
      </c>
    </row>
    <row r="97" spans="1:33" ht="15.5" x14ac:dyDescent="0.35">
      <c r="A97" s="57">
        <v>85</v>
      </c>
      <c r="B97" s="80">
        <f t="shared" si="49"/>
        <v>0</v>
      </c>
      <c r="C97" s="81">
        <f t="shared" si="50"/>
        <v>0</v>
      </c>
      <c r="D97" s="81">
        <f t="shared" si="51"/>
        <v>0</v>
      </c>
      <c r="E97" s="81">
        <f t="shared" si="34"/>
        <v>0</v>
      </c>
      <c r="F97" s="81">
        <f t="shared" si="52"/>
        <v>0</v>
      </c>
      <c r="G97" s="81">
        <f t="shared" si="35"/>
        <v>0</v>
      </c>
      <c r="H97" s="81">
        <f t="shared" si="53"/>
        <v>0</v>
      </c>
      <c r="I97" s="81">
        <f t="shared" si="36"/>
        <v>0</v>
      </c>
      <c r="J97" s="81">
        <f t="shared" si="54"/>
        <v>0</v>
      </c>
      <c r="K97" s="81">
        <f t="shared" si="37"/>
        <v>0</v>
      </c>
      <c r="L97" s="81">
        <f t="shared" si="55"/>
        <v>0</v>
      </c>
      <c r="M97" s="81">
        <f t="shared" si="38"/>
        <v>0</v>
      </c>
      <c r="N97" s="81">
        <f t="shared" si="56"/>
        <v>0</v>
      </c>
      <c r="O97" s="81">
        <f t="shared" si="39"/>
        <v>0</v>
      </c>
      <c r="P97" s="81">
        <f t="shared" si="57"/>
        <v>0</v>
      </c>
      <c r="Q97" s="81">
        <f t="shared" si="40"/>
        <v>0</v>
      </c>
      <c r="R97" s="81">
        <f t="shared" si="58"/>
        <v>0</v>
      </c>
      <c r="S97" s="81">
        <f t="shared" si="41"/>
        <v>0</v>
      </c>
      <c r="T97" s="81">
        <f t="shared" si="59"/>
        <v>0</v>
      </c>
      <c r="U97" s="81">
        <f t="shared" si="42"/>
        <v>0</v>
      </c>
      <c r="V97" s="81">
        <f t="shared" si="60"/>
        <v>0</v>
      </c>
      <c r="W97" s="81">
        <f t="shared" si="43"/>
        <v>0</v>
      </c>
      <c r="X97" s="81">
        <f t="shared" si="61"/>
        <v>0</v>
      </c>
      <c r="Y97" s="81">
        <f t="shared" si="44"/>
        <v>0</v>
      </c>
      <c r="Z97" s="81">
        <f t="shared" si="33"/>
        <v>0</v>
      </c>
      <c r="AA97" s="81">
        <f t="shared" si="45"/>
        <v>0</v>
      </c>
      <c r="AB97" s="81">
        <f t="shared" si="64"/>
        <v>0</v>
      </c>
      <c r="AC97" s="81">
        <f t="shared" si="46"/>
        <v>0</v>
      </c>
      <c r="AD97" s="81">
        <f t="shared" si="62"/>
        <v>0</v>
      </c>
      <c r="AE97" s="81">
        <f t="shared" si="47"/>
        <v>0</v>
      </c>
      <c r="AF97" s="81">
        <f t="shared" si="63"/>
        <v>0</v>
      </c>
      <c r="AG97" s="81">
        <f t="shared" si="48"/>
        <v>0</v>
      </c>
    </row>
    <row r="98" spans="1:33" ht="15.5" x14ac:dyDescent="0.35">
      <c r="A98" s="57">
        <v>86</v>
      </c>
      <c r="B98" s="80">
        <f t="shared" si="49"/>
        <v>0</v>
      </c>
      <c r="C98" s="81">
        <f t="shared" si="50"/>
        <v>0</v>
      </c>
      <c r="D98" s="81">
        <f t="shared" si="51"/>
        <v>0</v>
      </c>
      <c r="E98" s="81">
        <f t="shared" si="34"/>
        <v>0</v>
      </c>
      <c r="F98" s="81">
        <f t="shared" si="52"/>
        <v>0</v>
      </c>
      <c r="G98" s="81">
        <f t="shared" si="35"/>
        <v>0</v>
      </c>
      <c r="H98" s="81">
        <f t="shared" si="53"/>
        <v>0</v>
      </c>
      <c r="I98" s="81">
        <f t="shared" si="36"/>
        <v>0</v>
      </c>
      <c r="J98" s="81">
        <f t="shared" si="54"/>
        <v>0</v>
      </c>
      <c r="K98" s="81">
        <f t="shared" si="37"/>
        <v>0</v>
      </c>
      <c r="L98" s="81">
        <f t="shared" si="55"/>
        <v>0</v>
      </c>
      <c r="M98" s="81">
        <f t="shared" si="38"/>
        <v>0</v>
      </c>
      <c r="N98" s="81">
        <f t="shared" si="56"/>
        <v>0</v>
      </c>
      <c r="O98" s="81">
        <f t="shared" si="39"/>
        <v>0</v>
      </c>
      <c r="P98" s="81">
        <f t="shared" si="57"/>
        <v>0</v>
      </c>
      <c r="Q98" s="81">
        <f t="shared" si="40"/>
        <v>0</v>
      </c>
      <c r="R98" s="81">
        <f t="shared" si="58"/>
        <v>0</v>
      </c>
      <c r="S98" s="81">
        <f t="shared" si="41"/>
        <v>0</v>
      </c>
      <c r="T98" s="81">
        <f t="shared" si="59"/>
        <v>0</v>
      </c>
      <c r="U98" s="81">
        <f t="shared" si="42"/>
        <v>0</v>
      </c>
      <c r="V98" s="81">
        <f t="shared" si="60"/>
        <v>0</v>
      </c>
      <c r="W98" s="81">
        <f t="shared" si="43"/>
        <v>0</v>
      </c>
      <c r="X98" s="81">
        <f t="shared" si="61"/>
        <v>0</v>
      </c>
      <c r="Y98" s="81">
        <f t="shared" si="44"/>
        <v>0</v>
      </c>
      <c r="Z98" s="81">
        <f t="shared" si="33"/>
        <v>0</v>
      </c>
      <c r="AA98" s="81">
        <f t="shared" si="45"/>
        <v>0</v>
      </c>
      <c r="AB98" s="81">
        <f t="shared" si="64"/>
        <v>0</v>
      </c>
      <c r="AC98" s="81">
        <f t="shared" si="46"/>
        <v>0</v>
      </c>
      <c r="AD98" s="81">
        <f t="shared" si="62"/>
        <v>0</v>
      </c>
      <c r="AE98" s="81">
        <f t="shared" si="47"/>
        <v>0</v>
      </c>
      <c r="AF98" s="81">
        <f t="shared" si="63"/>
        <v>0</v>
      </c>
      <c r="AG98" s="81">
        <f t="shared" si="48"/>
        <v>0</v>
      </c>
    </row>
    <row r="99" spans="1:33" ht="15.5" x14ac:dyDescent="0.35">
      <c r="A99" s="57">
        <v>87</v>
      </c>
      <c r="B99" s="80">
        <f t="shared" si="49"/>
        <v>0</v>
      </c>
      <c r="C99" s="81">
        <f t="shared" si="50"/>
        <v>0</v>
      </c>
      <c r="D99" s="81">
        <f t="shared" si="51"/>
        <v>0</v>
      </c>
      <c r="E99" s="81">
        <f t="shared" si="34"/>
        <v>0</v>
      </c>
      <c r="F99" s="81">
        <f t="shared" si="52"/>
        <v>0</v>
      </c>
      <c r="G99" s="81">
        <f t="shared" si="35"/>
        <v>0</v>
      </c>
      <c r="H99" s="81">
        <f t="shared" si="53"/>
        <v>0</v>
      </c>
      <c r="I99" s="81">
        <f t="shared" si="36"/>
        <v>0</v>
      </c>
      <c r="J99" s="81">
        <f t="shared" si="54"/>
        <v>0</v>
      </c>
      <c r="K99" s="81">
        <f t="shared" si="37"/>
        <v>0</v>
      </c>
      <c r="L99" s="81">
        <f t="shared" si="55"/>
        <v>0</v>
      </c>
      <c r="M99" s="81">
        <f t="shared" si="38"/>
        <v>0</v>
      </c>
      <c r="N99" s="81">
        <f t="shared" si="56"/>
        <v>0</v>
      </c>
      <c r="O99" s="81">
        <f t="shared" si="39"/>
        <v>0</v>
      </c>
      <c r="P99" s="81">
        <f t="shared" si="57"/>
        <v>0</v>
      </c>
      <c r="Q99" s="81">
        <f t="shared" si="40"/>
        <v>0</v>
      </c>
      <c r="R99" s="81">
        <f t="shared" si="58"/>
        <v>0</v>
      </c>
      <c r="S99" s="81">
        <f t="shared" si="41"/>
        <v>0</v>
      </c>
      <c r="T99" s="81">
        <f t="shared" si="59"/>
        <v>0</v>
      </c>
      <c r="U99" s="81">
        <f t="shared" si="42"/>
        <v>0</v>
      </c>
      <c r="V99" s="81">
        <f t="shared" si="60"/>
        <v>0</v>
      </c>
      <c r="W99" s="81">
        <f t="shared" si="43"/>
        <v>0</v>
      </c>
      <c r="X99" s="81">
        <f t="shared" si="61"/>
        <v>0</v>
      </c>
      <c r="Y99" s="81">
        <f t="shared" si="44"/>
        <v>0</v>
      </c>
      <c r="Z99" s="81">
        <f t="shared" si="33"/>
        <v>0</v>
      </c>
      <c r="AA99" s="81">
        <f t="shared" si="45"/>
        <v>0</v>
      </c>
      <c r="AB99" s="81">
        <f t="shared" si="64"/>
        <v>0</v>
      </c>
      <c r="AC99" s="81">
        <f t="shared" si="46"/>
        <v>0</v>
      </c>
      <c r="AD99" s="81">
        <f t="shared" si="62"/>
        <v>0</v>
      </c>
      <c r="AE99" s="81">
        <f t="shared" si="47"/>
        <v>0</v>
      </c>
      <c r="AF99" s="81">
        <f t="shared" si="63"/>
        <v>0</v>
      </c>
      <c r="AG99" s="81">
        <f t="shared" si="48"/>
        <v>0</v>
      </c>
    </row>
    <row r="100" spans="1:33" ht="15.5" x14ac:dyDescent="0.35">
      <c r="A100" s="57">
        <v>88</v>
      </c>
      <c r="B100" s="80">
        <f t="shared" si="49"/>
        <v>0</v>
      </c>
      <c r="C100" s="81">
        <f t="shared" si="50"/>
        <v>0</v>
      </c>
      <c r="D100" s="81">
        <f t="shared" si="51"/>
        <v>0</v>
      </c>
      <c r="E100" s="81">
        <f t="shared" si="34"/>
        <v>0</v>
      </c>
      <c r="F100" s="81">
        <f t="shared" si="52"/>
        <v>0</v>
      </c>
      <c r="G100" s="81">
        <f t="shared" si="35"/>
        <v>0</v>
      </c>
      <c r="H100" s="81">
        <f t="shared" si="53"/>
        <v>0</v>
      </c>
      <c r="I100" s="81">
        <f t="shared" si="36"/>
        <v>0</v>
      </c>
      <c r="J100" s="81">
        <f t="shared" si="54"/>
        <v>0</v>
      </c>
      <c r="K100" s="81">
        <f t="shared" si="37"/>
        <v>0</v>
      </c>
      <c r="L100" s="81">
        <f t="shared" si="55"/>
        <v>0</v>
      </c>
      <c r="M100" s="81">
        <f t="shared" si="38"/>
        <v>0</v>
      </c>
      <c r="N100" s="81">
        <f t="shared" si="56"/>
        <v>0</v>
      </c>
      <c r="O100" s="81">
        <f t="shared" si="39"/>
        <v>0</v>
      </c>
      <c r="P100" s="81">
        <f t="shared" si="57"/>
        <v>0</v>
      </c>
      <c r="Q100" s="81">
        <f t="shared" si="40"/>
        <v>0</v>
      </c>
      <c r="R100" s="81">
        <f t="shared" si="58"/>
        <v>0</v>
      </c>
      <c r="S100" s="81">
        <f t="shared" si="41"/>
        <v>0</v>
      </c>
      <c r="T100" s="81">
        <f t="shared" si="59"/>
        <v>0</v>
      </c>
      <c r="U100" s="81">
        <f t="shared" si="42"/>
        <v>0</v>
      </c>
      <c r="V100" s="81">
        <f t="shared" si="60"/>
        <v>0</v>
      </c>
      <c r="W100" s="81">
        <f t="shared" si="43"/>
        <v>0</v>
      </c>
      <c r="X100" s="81">
        <f t="shared" si="61"/>
        <v>0</v>
      </c>
      <c r="Y100" s="81">
        <f t="shared" si="44"/>
        <v>0</v>
      </c>
      <c r="Z100" s="81">
        <f t="shared" si="33"/>
        <v>0</v>
      </c>
      <c r="AA100" s="81">
        <f t="shared" si="45"/>
        <v>0</v>
      </c>
      <c r="AB100" s="81">
        <f t="shared" si="64"/>
        <v>0</v>
      </c>
      <c r="AC100" s="81">
        <f t="shared" si="46"/>
        <v>0</v>
      </c>
      <c r="AD100" s="81">
        <f t="shared" si="62"/>
        <v>0</v>
      </c>
      <c r="AE100" s="81">
        <f t="shared" si="47"/>
        <v>0</v>
      </c>
      <c r="AF100" s="81">
        <f t="shared" si="63"/>
        <v>0</v>
      </c>
      <c r="AG100" s="81">
        <f t="shared" si="48"/>
        <v>0</v>
      </c>
    </row>
    <row r="101" spans="1:33" ht="15.5" x14ac:dyDescent="0.35">
      <c r="A101" s="57">
        <v>89</v>
      </c>
      <c r="B101" s="80">
        <f t="shared" si="49"/>
        <v>0</v>
      </c>
      <c r="C101" s="81">
        <f t="shared" si="50"/>
        <v>0</v>
      </c>
      <c r="D101" s="81">
        <f t="shared" si="51"/>
        <v>0</v>
      </c>
      <c r="E101" s="81">
        <f t="shared" si="34"/>
        <v>0</v>
      </c>
      <c r="F101" s="81">
        <f t="shared" si="52"/>
        <v>0</v>
      </c>
      <c r="G101" s="81">
        <f t="shared" si="35"/>
        <v>0</v>
      </c>
      <c r="H101" s="81">
        <f t="shared" si="53"/>
        <v>0</v>
      </c>
      <c r="I101" s="81">
        <f t="shared" si="36"/>
        <v>0</v>
      </c>
      <c r="J101" s="81">
        <f t="shared" si="54"/>
        <v>0</v>
      </c>
      <c r="K101" s="81">
        <f t="shared" si="37"/>
        <v>0</v>
      </c>
      <c r="L101" s="81">
        <f t="shared" si="55"/>
        <v>0</v>
      </c>
      <c r="M101" s="81">
        <f t="shared" si="38"/>
        <v>0</v>
      </c>
      <c r="N101" s="81">
        <f t="shared" si="56"/>
        <v>0</v>
      </c>
      <c r="O101" s="81">
        <f t="shared" si="39"/>
        <v>0</v>
      </c>
      <c r="P101" s="81">
        <f t="shared" si="57"/>
        <v>0</v>
      </c>
      <c r="Q101" s="81">
        <f t="shared" si="40"/>
        <v>0</v>
      </c>
      <c r="R101" s="81">
        <f t="shared" si="58"/>
        <v>0</v>
      </c>
      <c r="S101" s="81">
        <f t="shared" si="41"/>
        <v>0</v>
      </c>
      <c r="T101" s="81">
        <f t="shared" si="59"/>
        <v>0</v>
      </c>
      <c r="U101" s="81">
        <f t="shared" si="42"/>
        <v>0</v>
      </c>
      <c r="V101" s="81">
        <f t="shared" si="60"/>
        <v>0</v>
      </c>
      <c r="W101" s="81">
        <f t="shared" si="43"/>
        <v>0</v>
      </c>
      <c r="X101" s="81">
        <f t="shared" si="61"/>
        <v>0</v>
      </c>
      <c r="Y101" s="81">
        <f t="shared" si="44"/>
        <v>0</v>
      </c>
      <c r="Z101" s="81">
        <f t="shared" ref="Z101:Z132" si="65">IF(AND(((AA100-$H$2+X101+V101+T101+R101-AA$9-Y$9-W$9-U$9-S$9-Q$9-O$9-M$9-K$9-I$9-G$9-E$9-C$9)&lt;=0),Y101+W101+U101+S101=0),AA100, IF(AND((AA100-AA$9-$H$2)&lt;=0, Y101=0),AA100,IF(AA$9&gt;=AA100, AA100, IF(AND(Y101=0,W101=0,U101=0,S101=0), $H$2-X101-V101-T101-R101+AA$9+Y$9+W$9+U$9+S$9+Q$9+O$9+M$9+K$9+I$9+G$9+E$9+C$9,AA$9))))</f>
        <v>0</v>
      </c>
      <c r="AA101" s="81">
        <f t="shared" si="45"/>
        <v>0</v>
      </c>
      <c r="AB101" s="81">
        <f t="shared" si="64"/>
        <v>0</v>
      </c>
      <c r="AC101" s="81">
        <f t="shared" si="46"/>
        <v>0</v>
      </c>
      <c r="AD101" s="81">
        <f t="shared" si="62"/>
        <v>0</v>
      </c>
      <c r="AE101" s="81">
        <f t="shared" si="47"/>
        <v>0</v>
      </c>
      <c r="AF101" s="81">
        <f t="shared" si="63"/>
        <v>0</v>
      </c>
      <c r="AG101" s="81">
        <f t="shared" si="48"/>
        <v>0</v>
      </c>
    </row>
    <row r="102" spans="1:33" ht="15.5" x14ac:dyDescent="0.35">
      <c r="A102" s="57">
        <v>90</v>
      </c>
      <c r="B102" s="80">
        <f t="shared" si="49"/>
        <v>0</v>
      </c>
      <c r="C102" s="81">
        <f t="shared" si="50"/>
        <v>0</v>
      </c>
      <c r="D102" s="81">
        <f t="shared" si="51"/>
        <v>0</v>
      </c>
      <c r="E102" s="81">
        <f t="shared" si="34"/>
        <v>0</v>
      </c>
      <c r="F102" s="81">
        <f t="shared" si="52"/>
        <v>0</v>
      </c>
      <c r="G102" s="81">
        <f t="shared" si="35"/>
        <v>0</v>
      </c>
      <c r="H102" s="81">
        <f t="shared" si="53"/>
        <v>0</v>
      </c>
      <c r="I102" s="81">
        <f t="shared" si="36"/>
        <v>0</v>
      </c>
      <c r="J102" s="81">
        <f t="shared" si="54"/>
        <v>0</v>
      </c>
      <c r="K102" s="81">
        <f t="shared" si="37"/>
        <v>0</v>
      </c>
      <c r="L102" s="81">
        <f t="shared" si="55"/>
        <v>0</v>
      </c>
      <c r="M102" s="81">
        <f t="shared" si="38"/>
        <v>0</v>
      </c>
      <c r="N102" s="81">
        <f t="shared" si="56"/>
        <v>0</v>
      </c>
      <c r="O102" s="81">
        <f t="shared" si="39"/>
        <v>0</v>
      </c>
      <c r="P102" s="81">
        <f t="shared" si="57"/>
        <v>0</v>
      </c>
      <c r="Q102" s="81">
        <f t="shared" si="40"/>
        <v>0</v>
      </c>
      <c r="R102" s="81">
        <f t="shared" si="58"/>
        <v>0</v>
      </c>
      <c r="S102" s="81">
        <f t="shared" si="41"/>
        <v>0</v>
      </c>
      <c r="T102" s="81">
        <f t="shared" si="59"/>
        <v>0</v>
      </c>
      <c r="U102" s="81">
        <f t="shared" si="42"/>
        <v>0</v>
      </c>
      <c r="V102" s="81">
        <f t="shared" si="60"/>
        <v>0</v>
      </c>
      <c r="W102" s="81">
        <f t="shared" si="43"/>
        <v>0</v>
      </c>
      <c r="X102" s="81">
        <f t="shared" si="61"/>
        <v>0</v>
      </c>
      <c r="Y102" s="81">
        <f t="shared" si="44"/>
        <v>0</v>
      </c>
      <c r="Z102" s="81">
        <f t="shared" si="65"/>
        <v>0</v>
      </c>
      <c r="AA102" s="81">
        <f t="shared" si="45"/>
        <v>0</v>
      </c>
      <c r="AB102" s="81">
        <f t="shared" si="64"/>
        <v>0</v>
      </c>
      <c r="AC102" s="81">
        <f t="shared" si="46"/>
        <v>0</v>
      </c>
      <c r="AD102" s="81">
        <f t="shared" si="62"/>
        <v>0</v>
      </c>
      <c r="AE102" s="81">
        <f t="shared" si="47"/>
        <v>0</v>
      </c>
      <c r="AF102" s="81">
        <f t="shared" si="63"/>
        <v>0</v>
      </c>
      <c r="AG102" s="81">
        <f t="shared" si="48"/>
        <v>0</v>
      </c>
    </row>
    <row r="103" spans="1:33" ht="15.5" x14ac:dyDescent="0.35">
      <c r="A103" s="57">
        <v>91</v>
      </c>
      <c r="B103" s="80">
        <f>IF((C102-$H$2-$C$9)&lt;=0,($H$2+(C102-$H$2)),($H$2+$C$9))</f>
        <v>0</v>
      </c>
      <c r="C103" s="81">
        <f t="shared" si="50"/>
        <v>0</v>
      </c>
      <c r="D103" s="81">
        <f t="shared" si="51"/>
        <v>0</v>
      </c>
      <c r="E103" s="81">
        <f t="shared" si="34"/>
        <v>0</v>
      </c>
      <c r="F103" s="81">
        <f t="shared" si="52"/>
        <v>0</v>
      </c>
      <c r="G103" s="81">
        <f t="shared" si="35"/>
        <v>0</v>
      </c>
      <c r="H103" s="81">
        <f t="shared" si="53"/>
        <v>0</v>
      </c>
      <c r="I103" s="81">
        <f t="shared" si="36"/>
        <v>0</v>
      </c>
      <c r="J103" s="81">
        <f t="shared" si="54"/>
        <v>0</v>
      </c>
      <c r="K103" s="81">
        <f t="shared" si="37"/>
        <v>0</v>
      </c>
      <c r="L103" s="81">
        <f t="shared" si="55"/>
        <v>0</v>
      </c>
      <c r="M103" s="81">
        <f t="shared" si="38"/>
        <v>0</v>
      </c>
      <c r="N103" s="81">
        <f t="shared" si="56"/>
        <v>0</v>
      </c>
      <c r="O103" s="81">
        <f t="shared" si="39"/>
        <v>0</v>
      </c>
      <c r="P103" s="81">
        <f t="shared" si="57"/>
        <v>0</v>
      </c>
      <c r="Q103" s="81">
        <f t="shared" si="40"/>
        <v>0</v>
      </c>
      <c r="R103" s="81">
        <f t="shared" si="58"/>
        <v>0</v>
      </c>
      <c r="S103" s="81">
        <f t="shared" si="41"/>
        <v>0</v>
      </c>
      <c r="T103" s="81">
        <f t="shared" si="59"/>
        <v>0</v>
      </c>
      <c r="U103" s="81">
        <f t="shared" si="42"/>
        <v>0</v>
      </c>
      <c r="V103" s="81">
        <f t="shared" si="60"/>
        <v>0</v>
      </c>
      <c r="W103" s="81">
        <f t="shared" si="43"/>
        <v>0</v>
      </c>
      <c r="X103" s="81">
        <f t="shared" si="61"/>
        <v>0</v>
      </c>
      <c r="Y103" s="81">
        <f t="shared" si="44"/>
        <v>0</v>
      </c>
      <c r="Z103" s="81">
        <f t="shared" si="65"/>
        <v>0</v>
      </c>
      <c r="AA103" s="81">
        <f t="shared" si="45"/>
        <v>0</v>
      </c>
      <c r="AB103" s="81">
        <f t="shared" si="64"/>
        <v>0</v>
      </c>
      <c r="AC103" s="81">
        <f t="shared" si="46"/>
        <v>0</v>
      </c>
      <c r="AD103" s="81">
        <f t="shared" si="62"/>
        <v>0</v>
      </c>
      <c r="AE103" s="81">
        <f t="shared" si="47"/>
        <v>0</v>
      </c>
      <c r="AF103" s="81">
        <f t="shared" si="63"/>
        <v>0</v>
      </c>
      <c r="AG103" s="81">
        <f t="shared" si="48"/>
        <v>0</v>
      </c>
    </row>
    <row r="104" spans="1:33" ht="15.5" x14ac:dyDescent="0.35">
      <c r="A104" s="57">
        <v>92</v>
      </c>
      <c r="B104" s="80">
        <f t="shared" si="49"/>
        <v>0</v>
      </c>
      <c r="C104" s="81">
        <f t="shared" si="50"/>
        <v>0</v>
      </c>
      <c r="D104" s="81">
        <f t="shared" si="51"/>
        <v>0</v>
      </c>
      <c r="E104" s="81">
        <f t="shared" si="34"/>
        <v>0</v>
      </c>
      <c r="F104" s="81">
        <f t="shared" si="52"/>
        <v>0</v>
      </c>
      <c r="G104" s="81">
        <f t="shared" si="35"/>
        <v>0</v>
      </c>
      <c r="H104" s="81">
        <f t="shared" si="53"/>
        <v>0</v>
      </c>
      <c r="I104" s="81">
        <f t="shared" si="36"/>
        <v>0</v>
      </c>
      <c r="J104" s="81">
        <f t="shared" si="54"/>
        <v>0</v>
      </c>
      <c r="K104" s="81">
        <f t="shared" si="37"/>
        <v>0</v>
      </c>
      <c r="L104" s="81">
        <f t="shared" si="55"/>
        <v>0</v>
      </c>
      <c r="M104" s="81">
        <f t="shared" si="38"/>
        <v>0</v>
      </c>
      <c r="N104" s="81">
        <f t="shared" si="56"/>
        <v>0</v>
      </c>
      <c r="O104" s="81">
        <f t="shared" si="39"/>
        <v>0</v>
      </c>
      <c r="P104" s="81">
        <f t="shared" si="57"/>
        <v>0</v>
      </c>
      <c r="Q104" s="81">
        <f t="shared" si="40"/>
        <v>0</v>
      </c>
      <c r="R104" s="81">
        <f t="shared" si="58"/>
        <v>0</v>
      </c>
      <c r="S104" s="81">
        <f t="shared" si="41"/>
        <v>0</v>
      </c>
      <c r="T104" s="81">
        <f t="shared" si="59"/>
        <v>0</v>
      </c>
      <c r="U104" s="81">
        <f t="shared" si="42"/>
        <v>0</v>
      </c>
      <c r="V104" s="81">
        <f t="shared" si="60"/>
        <v>0</v>
      </c>
      <c r="W104" s="81">
        <f t="shared" si="43"/>
        <v>0</v>
      </c>
      <c r="X104" s="81">
        <f t="shared" si="61"/>
        <v>0</v>
      </c>
      <c r="Y104" s="81">
        <f t="shared" si="44"/>
        <v>0</v>
      </c>
      <c r="Z104" s="81">
        <f t="shared" si="65"/>
        <v>0</v>
      </c>
      <c r="AA104" s="81">
        <f t="shared" si="45"/>
        <v>0</v>
      </c>
      <c r="AB104" s="81">
        <f t="shared" si="64"/>
        <v>0</v>
      </c>
      <c r="AC104" s="81">
        <f t="shared" si="46"/>
        <v>0</v>
      </c>
      <c r="AD104" s="81">
        <f t="shared" si="62"/>
        <v>0</v>
      </c>
      <c r="AE104" s="81">
        <f t="shared" si="47"/>
        <v>0</v>
      </c>
      <c r="AF104" s="81">
        <f t="shared" si="63"/>
        <v>0</v>
      </c>
      <c r="AG104" s="81">
        <f t="shared" si="48"/>
        <v>0</v>
      </c>
    </row>
    <row r="105" spans="1:33" ht="15.5" x14ac:dyDescent="0.35">
      <c r="A105" s="57">
        <v>93</v>
      </c>
      <c r="B105" s="80">
        <f t="shared" si="49"/>
        <v>0</v>
      </c>
      <c r="C105" s="81">
        <f t="shared" si="50"/>
        <v>0</v>
      </c>
      <c r="D105" s="81">
        <f t="shared" si="51"/>
        <v>0</v>
      </c>
      <c r="E105" s="81">
        <f t="shared" si="34"/>
        <v>0</v>
      </c>
      <c r="F105" s="81">
        <f t="shared" si="52"/>
        <v>0</v>
      </c>
      <c r="G105" s="81">
        <f t="shared" si="35"/>
        <v>0</v>
      </c>
      <c r="H105" s="81">
        <f t="shared" si="53"/>
        <v>0</v>
      </c>
      <c r="I105" s="81">
        <f t="shared" si="36"/>
        <v>0</v>
      </c>
      <c r="J105" s="81">
        <f t="shared" si="54"/>
        <v>0</v>
      </c>
      <c r="K105" s="81">
        <f t="shared" si="37"/>
        <v>0</v>
      </c>
      <c r="L105" s="81">
        <f t="shared" si="55"/>
        <v>0</v>
      </c>
      <c r="M105" s="81">
        <f t="shared" si="38"/>
        <v>0</v>
      </c>
      <c r="N105" s="81">
        <f t="shared" si="56"/>
        <v>0</v>
      </c>
      <c r="O105" s="81">
        <f t="shared" si="39"/>
        <v>0</v>
      </c>
      <c r="P105" s="81">
        <f t="shared" si="57"/>
        <v>0</v>
      </c>
      <c r="Q105" s="81">
        <f t="shared" si="40"/>
        <v>0</v>
      </c>
      <c r="R105" s="81">
        <f t="shared" si="58"/>
        <v>0</v>
      </c>
      <c r="S105" s="81">
        <f t="shared" si="41"/>
        <v>0</v>
      </c>
      <c r="T105" s="81">
        <f t="shared" si="59"/>
        <v>0</v>
      </c>
      <c r="U105" s="81">
        <f t="shared" si="42"/>
        <v>0</v>
      </c>
      <c r="V105" s="81">
        <f t="shared" si="60"/>
        <v>0</v>
      </c>
      <c r="W105" s="81">
        <f t="shared" si="43"/>
        <v>0</v>
      </c>
      <c r="X105" s="81">
        <f t="shared" si="61"/>
        <v>0</v>
      </c>
      <c r="Y105" s="81">
        <f t="shared" si="44"/>
        <v>0</v>
      </c>
      <c r="Z105" s="81">
        <f t="shared" si="65"/>
        <v>0</v>
      </c>
      <c r="AA105" s="81">
        <f t="shared" si="45"/>
        <v>0</v>
      </c>
      <c r="AB105" s="81">
        <f t="shared" si="64"/>
        <v>0</v>
      </c>
      <c r="AC105" s="81">
        <f t="shared" si="46"/>
        <v>0</v>
      </c>
      <c r="AD105" s="81">
        <f t="shared" si="62"/>
        <v>0</v>
      </c>
      <c r="AE105" s="81">
        <f t="shared" si="47"/>
        <v>0</v>
      </c>
      <c r="AF105" s="81">
        <f t="shared" si="63"/>
        <v>0</v>
      </c>
      <c r="AG105" s="81">
        <f t="shared" si="48"/>
        <v>0</v>
      </c>
    </row>
    <row r="106" spans="1:33" ht="15.5" x14ac:dyDescent="0.35">
      <c r="A106" s="57">
        <v>94</v>
      </c>
      <c r="B106" s="80">
        <f t="shared" si="49"/>
        <v>0</v>
      </c>
      <c r="C106" s="81">
        <f t="shared" si="50"/>
        <v>0</v>
      </c>
      <c r="D106" s="81">
        <f t="shared" si="51"/>
        <v>0</v>
      </c>
      <c r="E106" s="81">
        <f t="shared" si="34"/>
        <v>0</v>
      </c>
      <c r="F106" s="81">
        <f t="shared" si="52"/>
        <v>0</v>
      </c>
      <c r="G106" s="81">
        <f t="shared" si="35"/>
        <v>0</v>
      </c>
      <c r="H106" s="81">
        <f t="shared" si="53"/>
        <v>0</v>
      </c>
      <c r="I106" s="81">
        <f t="shared" si="36"/>
        <v>0</v>
      </c>
      <c r="J106" s="81">
        <f t="shared" si="54"/>
        <v>0</v>
      </c>
      <c r="K106" s="81">
        <f t="shared" si="37"/>
        <v>0</v>
      </c>
      <c r="L106" s="81">
        <f t="shared" si="55"/>
        <v>0</v>
      </c>
      <c r="M106" s="81">
        <f t="shared" si="38"/>
        <v>0</v>
      </c>
      <c r="N106" s="81">
        <f t="shared" si="56"/>
        <v>0</v>
      </c>
      <c r="O106" s="81">
        <f t="shared" si="39"/>
        <v>0</v>
      </c>
      <c r="P106" s="81">
        <f t="shared" si="57"/>
        <v>0</v>
      </c>
      <c r="Q106" s="81">
        <f t="shared" si="40"/>
        <v>0</v>
      </c>
      <c r="R106" s="81">
        <f t="shared" si="58"/>
        <v>0</v>
      </c>
      <c r="S106" s="81">
        <f t="shared" si="41"/>
        <v>0</v>
      </c>
      <c r="T106" s="81">
        <f t="shared" si="59"/>
        <v>0</v>
      </c>
      <c r="U106" s="81">
        <f t="shared" si="42"/>
        <v>0</v>
      </c>
      <c r="V106" s="81">
        <f t="shared" si="60"/>
        <v>0</v>
      </c>
      <c r="W106" s="81">
        <f t="shared" si="43"/>
        <v>0</v>
      </c>
      <c r="X106" s="81">
        <f t="shared" si="61"/>
        <v>0</v>
      </c>
      <c r="Y106" s="81">
        <f t="shared" si="44"/>
        <v>0</v>
      </c>
      <c r="Z106" s="81">
        <f t="shared" si="65"/>
        <v>0</v>
      </c>
      <c r="AA106" s="81">
        <f t="shared" si="45"/>
        <v>0</v>
      </c>
      <c r="AB106" s="81">
        <f t="shared" si="64"/>
        <v>0</v>
      </c>
      <c r="AC106" s="81">
        <f t="shared" si="46"/>
        <v>0</v>
      </c>
      <c r="AD106" s="81">
        <f t="shared" si="62"/>
        <v>0</v>
      </c>
      <c r="AE106" s="81">
        <f t="shared" si="47"/>
        <v>0</v>
      </c>
      <c r="AF106" s="81">
        <f t="shared" si="63"/>
        <v>0</v>
      </c>
      <c r="AG106" s="81">
        <f t="shared" si="48"/>
        <v>0</v>
      </c>
    </row>
    <row r="107" spans="1:33" ht="15.5" x14ac:dyDescent="0.35">
      <c r="A107" s="57">
        <v>95</v>
      </c>
      <c r="B107" s="80">
        <f t="shared" si="49"/>
        <v>0</v>
      </c>
      <c r="C107" s="81">
        <f t="shared" si="50"/>
        <v>0</v>
      </c>
      <c r="D107" s="81">
        <f t="shared" si="51"/>
        <v>0</v>
      </c>
      <c r="E107" s="81">
        <f t="shared" si="34"/>
        <v>0</v>
      </c>
      <c r="F107" s="81">
        <f t="shared" si="52"/>
        <v>0</v>
      </c>
      <c r="G107" s="81">
        <f t="shared" si="35"/>
        <v>0</v>
      </c>
      <c r="H107" s="81">
        <f t="shared" si="53"/>
        <v>0</v>
      </c>
      <c r="I107" s="81">
        <f t="shared" si="36"/>
        <v>0</v>
      </c>
      <c r="J107" s="81">
        <f t="shared" si="54"/>
        <v>0</v>
      </c>
      <c r="K107" s="81">
        <f t="shared" si="37"/>
        <v>0</v>
      </c>
      <c r="L107" s="81">
        <f t="shared" si="55"/>
        <v>0</v>
      </c>
      <c r="M107" s="81">
        <f t="shared" si="38"/>
        <v>0</v>
      </c>
      <c r="N107" s="81">
        <f t="shared" si="56"/>
        <v>0</v>
      </c>
      <c r="O107" s="81">
        <f t="shared" si="39"/>
        <v>0</v>
      </c>
      <c r="P107" s="81">
        <f t="shared" si="57"/>
        <v>0</v>
      </c>
      <c r="Q107" s="81">
        <f t="shared" si="40"/>
        <v>0</v>
      </c>
      <c r="R107" s="81">
        <f t="shared" si="58"/>
        <v>0</v>
      </c>
      <c r="S107" s="81">
        <f t="shared" si="41"/>
        <v>0</v>
      </c>
      <c r="T107" s="81">
        <f t="shared" si="59"/>
        <v>0</v>
      </c>
      <c r="U107" s="81">
        <f t="shared" si="42"/>
        <v>0</v>
      </c>
      <c r="V107" s="81">
        <f t="shared" si="60"/>
        <v>0</v>
      </c>
      <c r="W107" s="81">
        <f t="shared" si="43"/>
        <v>0</v>
      </c>
      <c r="X107" s="81">
        <f t="shared" si="61"/>
        <v>0</v>
      </c>
      <c r="Y107" s="81">
        <f t="shared" si="44"/>
        <v>0</v>
      </c>
      <c r="Z107" s="81">
        <f t="shared" si="65"/>
        <v>0</v>
      </c>
      <c r="AA107" s="81">
        <f t="shared" si="45"/>
        <v>0</v>
      </c>
      <c r="AB107" s="81">
        <f t="shared" si="64"/>
        <v>0</v>
      </c>
      <c r="AC107" s="81">
        <f t="shared" si="46"/>
        <v>0</v>
      </c>
      <c r="AD107" s="81">
        <f t="shared" si="62"/>
        <v>0</v>
      </c>
      <c r="AE107" s="81">
        <f t="shared" si="47"/>
        <v>0</v>
      </c>
      <c r="AF107" s="81">
        <f t="shared" si="63"/>
        <v>0</v>
      </c>
      <c r="AG107" s="81">
        <f t="shared" si="48"/>
        <v>0</v>
      </c>
    </row>
    <row r="108" spans="1:33" ht="15.5" x14ac:dyDescent="0.35">
      <c r="A108" s="57">
        <v>96</v>
      </c>
      <c r="B108" s="80">
        <f t="shared" si="49"/>
        <v>0</v>
      </c>
      <c r="C108" s="81">
        <f t="shared" si="50"/>
        <v>0</v>
      </c>
      <c r="D108" s="81">
        <f t="shared" si="51"/>
        <v>0</v>
      </c>
      <c r="E108" s="81">
        <f t="shared" si="34"/>
        <v>0</v>
      </c>
      <c r="F108" s="81">
        <f t="shared" si="52"/>
        <v>0</v>
      </c>
      <c r="G108" s="81">
        <f t="shared" si="35"/>
        <v>0</v>
      </c>
      <c r="H108" s="81">
        <f t="shared" si="53"/>
        <v>0</v>
      </c>
      <c r="I108" s="81">
        <f t="shared" si="36"/>
        <v>0</v>
      </c>
      <c r="J108" s="81">
        <f t="shared" si="54"/>
        <v>0</v>
      </c>
      <c r="K108" s="81">
        <f t="shared" si="37"/>
        <v>0</v>
      </c>
      <c r="L108" s="81">
        <f t="shared" si="55"/>
        <v>0</v>
      </c>
      <c r="M108" s="81">
        <f t="shared" si="38"/>
        <v>0</v>
      </c>
      <c r="N108" s="81">
        <f t="shared" si="56"/>
        <v>0</v>
      </c>
      <c r="O108" s="81">
        <f t="shared" si="39"/>
        <v>0</v>
      </c>
      <c r="P108" s="81">
        <f t="shared" si="57"/>
        <v>0</v>
      </c>
      <c r="Q108" s="81">
        <f t="shared" si="40"/>
        <v>0</v>
      </c>
      <c r="R108" s="81">
        <f t="shared" si="58"/>
        <v>0</v>
      </c>
      <c r="S108" s="81">
        <f t="shared" si="41"/>
        <v>0</v>
      </c>
      <c r="T108" s="81">
        <f t="shared" si="59"/>
        <v>0</v>
      </c>
      <c r="U108" s="81">
        <f t="shared" si="42"/>
        <v>0</v>
      </c>
      <c r="V108" s="81">
        <f t="shared" si="60"/>
        <v>0</v>
      </c>
      <c r="W108" s="81">
        <f t="shared" si="43"/>
        <v>0</v>
      </c>
      <c r="X108" s="81">
        <f t="shared" si="61"/>
        <v>0</v>
      </c>
      <c r="Y108" s="81">
        <f t="shared" si="44"/>
        <v>0</v>
      </c>
      <c r="Z108" s="81">
        <f t="shared" si="65"/>
        <v>0</v>
      </c>
      <c r="AA108" s="81">
        <f t="shared" si="45"/>
        <v>0</v>
      </c>
      <c r="AB108" s="81">
        <f t="shared" si="64"/>
        <v>0</v>
      </c>
      <c r="AC108" s="81">
        <f t="shared" si="46"/>
        <v>0</v>
      </c>
      <c r="AD108" s="81">
        <f t="shared" si="62"/>
        <v>0</v>
      </c>
      <c r="AE108" s="81">
        <f t="shared" si="47"/>
        <v>0</v>
      </c>
      <c r="AF108" s="81">
        <f t="shared" si="63"/>
        <v>0</v>
      </c>
      <c r="AG108" s="81">
        <f t="shared" si="48"/>
        <v>0</v>
      </c>
    </row>
    <row r="109" spans="1:33" ht="15.5" x14ac:dyDescent="0.35">
      <c r="A109" s="57">
        <v>97</v>
      </c>
      <c r="B109" s="80">
        <f t="shared" si="49"/>
        <v>0</v>
      </c>
      <c r="C109" s="81">
        <f t="shared" si="50"/>
        <v>0</v>
      </c>
      <c r="D109" s="81">
        <f t="shared" si="51"/>
        <v>0</v>
      </c>
      <c r="E109" s="81">
        <f t="shared" si="34"/>
        <v>0</v>
      </c>
      <c r="F109" s="81">
        <f t="shared" si="52"/>
        <v>0</v>
      </c>
      <c r="G109" s="81">
        <f t="shared" si="35"/>
        <v>0</v>
      </c>
      <c r="H109" s="81">
        <f t="shared" si="53"/>
        <v>0</v>
      </c>
      <c r="I109" s="81">
        <f t="shared" si="36"/>
        <v>0</v>
      </c>
      <c r="J109" s="81">
        <f t="shared" si="54"/>
        <v>0</v>
      </c>
      <c r="K109" s="81">
        <f t="shared" si="37"/>
        <v>0</v>
      </c>
      <c r="L109" s="81">
        <f t="shared" si="55"/>
        <v>0</v>
      </c>
      <c r="M109" s="81">
        <f t="shared" si="38"/>
        <v>0</v>
      </c>
      <c r="N109" s="81">
        <f t="shared" si="56"/>
        <v>0</v>
      </c>
      <c r="O109" s="81">
        <f t="shared" si="39"/>
        <v>0</v>
      </c>
      <c r="P109" s="81">
        <f t="shared" si="57"/>
        <v>0</v>
      </c>
      <c r="Q109" s="81">
        <f t="shared" si="40"/>
        <v>0</v>
      </c>
      <c r="R109" s="81">
        <f t="shared" si="58"/>
        <v>0</v>
      </c>
      <c r="S109" s="81">
        <f t="shared" si="41"/>
        <v>0</v>
      </c>
      <c r="T109" s="81">
        <f t="shared" si="59"/>
        <v>0</v>
      </c>
      <c r="U109" s="81">
        <f t="shared" si="42"/>
        <v>0</v>
      </c>
      <c r="V109" s="81">
        <f t="shared" si="60"/>
        <v>0</v>
      </c>
      <c r="W109" s="81">
        <f t="shared" si="43"/>
        <v>0</v>
      </c>
      <c r="X109" s="81">
        <f t="shared" si="61"/>
        <v>0</v>
      </c>
      <c r="Y109" s="81">
        <f t="shared" si="44"/>
        <v>0</v>
      </c>
      <c r="Z109" s="81">
        <f t="shared" si="65"/>
        <v>0</v>
      </c>
      <c r="AA109" s="81">
        <f t="shared" si="45"/>
        <v>0</v>
      </c>
      <c r="AB109" s="81">
        <f t="shared" si="64"/>
        <v>0</v>
      </c>
      <c r="AC109" s="81">
        <f t="shared" si="46"/>
        <v>0</v>
      </c>
      <c r="AD109" s="81">
        <f t="shared" si="62"/>
        <v>0</v>
      </c>
      <c r="AE109" s="81">
        <f t="shared" si="47"/>
        <v>0</v>
      </c>
      <c r="AF109" s="81">
        <f t="shared" si="63"/>
        <v>0</v>
      </c>
      <c r="AG109" s="81">
        <f t="shared" si="48"/>
        <v>0</v>
      </c>
    </row>
    <row r="110" spans="1:33" ht="15.5" x14ac:dyDescent="0.35">
      <c r="A110" s="57">
        <v>98</v>
      </c>
      <c r="B110" s="80">
        <f t="shared" si="49"/>
        <v>0</v>
      </c>
      <c r="C110" s="81">
        <f t="shared" si="50"/>
        <v>0</v>
      </c>
      <c r="D110" s="81">
        <f t="shared" si="51"/>
        <v>0</v>
      </c>
      <c r="E110" s="81">
        <f t="shared" si="34"/>
        <v>0</v>
      </c>
      <c r="F110" s="81">
        <f t="shared" si="52"/>
        <v>0</v>
      </c>
      <c r="G110" s="81">
        <f t="shared" si="35"/>
        <v>0</v>
      </c>
      <c r="H110" s="81">
        <f t="shared" si="53"/>
        <v>0</v>
      </c>
      <c r="I110" s="81">
        <f t="shared" si="36"/>
        <v>0</v>
      </c>
      <c r="J110" s="81">
        <f t="shared" si="54"/>
        <v>0</v>
      </c>
      <c r="K110" s="81">
        <f t="shared" si="37"/>
        <v>0</v>
      </c>
      <c r="L110" s="81">
        <f t="shared" si="55"/>
        <v>0</v>
      </c>
      <c r="M110" s="81">
        <f t="shared" si="38"/>
        <v>0</v>
      </c>
      <c r="N110" s="81">
        <f t="shared" si="56"/>
        <v>0</v>
      </c>
      <c r="O110" s="81">
        <f t="shared" si="39"/>
        <v>0</v>
      </c>
      <c r="P110" s="81">
        <f t="shared" si="57"/>
        <v>0</v>
      </c>
      <c r="Q110" s="81">
        <f t="shared" si="40"/>
        <v>0</v>
      </c>
      <c r="R110" s="81">
        <f t="shared" si="58"/>
        <v>0</v>
      </c>
      <c r="S110" s="81">
        <f t="shared" si="41"/>
        <v>0</v>
      </c>
      <c r="T110" s="81">
        <f t="shared" si="59"/>
        <v>0</v>
      </c>
      <c r="U110" s="81">
        <f t="shared" si="42"/>
        <v>0</v>
      </c>
      <c r="V110" s="81">
        <f t="shared" si="60"/>
        <v>0</v>
      </c>
      <c r="W110" s="81">
        <f t="shared" si="43"/>
        <v>0</v>
      </c>
      <c r="X110" s="81">
        <f t="shared" si="61"/>
        <v>0</v>
      </c>
      <c r="Y110" s="81">
        <f t="shared" si="44"/>
        <v>0</v>
      </c>
      <c r="Z110" s="81">
        <f t="shared" si="65"/>
        <v>0</v>
      </c>
      <c r="AA110" s="81">
        <f t="shared" si="45"/>
        <v>0</v>
      </c>
      <c r="AB110" s="81">
        <f t="shared" si="64"/>
        <v>0</v>
      </c>
      <c r="AC110" s="81">
        <f t="shared" si="46"/>
        <v>0</v>
      </c>
      <c r="AD110" s="81">
        <f t="shared" si="62"/>
        <v>0</v>
      </c>
      <c r="AE110" s="81">
        <f t="shared" si="47"/>
        <v>0</v>
      </c>
      <c r="AF110" s="81">
        <f t="shared" si="63"/>
        <v>0</v>
      </c>
      <c r="AG110" s="81">
        <f t="shared" si="48"/>
        <v>0</v>
      </c>
    </row>
    <row r="111" spans="1:33" ht="15.5" x14ac:dyDescent="0.35">
      <c r="A111" s="57">
        <v>99</v>
      </c>
      <c r="B111" s="80">
        <f t="shared" si="49"/>
        <v>0</v>
      </c>
      <c r="C111" s="81">
        <f t="shared" si="50"/>
        <v>0</v>
      </c>
      <c r="D111" s="81">
        <f t="shared" si="51"/>
        <v>0</v>
      </c>
      <c r="E111" s="81">
        <f t="shared" si="34"/>
        <v>0</v>
      </c>
      <c r="F111" s="81">
        <f t="shared" si="52"/>
        <v>0</v>
      </c>
      <c r="G111" s="81">
        <f t="shared" si="35"/>
        <v>0</v>
      </c>
      <c r="H111" s="81">
        <f t="shared" si="53"/>
        <v>0</v>
      </c>
      <c r="I111" s="81">
        <f t="shared" si="36"/>
        <v>0</v>
      </c>
      <c r="J111" s="81">
        <f t="shared" si="54"/>
        <v>0</v>
      </c>
      <c r="K111" s="81">
        <f t="shared" si="37"/>
        <v>0</v>
      </c>
      <c r="L111" s="81">
        <f t="shared" si="55"/>
        <v>0</v>
      </c>
      <c r="M111" s="81">
        <f t="shared" si="38"/>
        <v>0</v>
      </c>
      <c r="N111" s="81">
        <f t="shared" si="56"/>
        <v>0</v>
      </c>
      <c r="O111" s="81">
        <f t="shared" si="39"/>
        <v>0</v>
      </c>
      <c r="P111" s="81">
        <f t="shared" si="57"/>
        <v>0</v>
      </c>
      <c r="Q111" s="81">
        <f t="shared" si="40"/>
        <v>0</v>
      </c>
      <c r="R111" s="81">
        <f t="shared" si="58"/>
        <v>0</v>
      </c>
      <c r="S111" s="81">
        <f t="shared" si="41"/>
        <v>0</v>
      </c>
      <c r="T111" s="81">
        <f t="shared" si="59"/>
        <v>0</v>
      </c>
      <c r="U111" s="81">
        <f t="shared" si="42"/>
        <v>0</v>
      </c>
      <c r="V111" s="81">
        <f t="shared" si="60"/>
        <v>0</v>
      </c>
      <c r="W111" s="81">
        <f t="shared" si="43"/>
        <v>0</v>
      </c>
      <c r="X111" s="81">
        <f t="shared" si="61"/>
        <v>0</v>
      </c>
      <c r="Y111" s="81">
        <f t="shared" si="44"/>
        <v>0</v>
      </c>
      <c r="Z111" s="81">
        <f t="shared" si="65"/>
        <v>0</v>
      </c>
      <c r="AA111" s="81">
        <f t="shared" si="45"/>
        <v>0</v>
      </c>
      <c r="AB111" s="81">
        <f t="shared" si="64"/>
        <v>0</v>
      </c>
      <c r="AC111" s="81">
        <f t="shared" si="46"/>
        <v>0</v>
      </c>
      <c r="AD111" s="81">
        <f t="shared" si="62"/>
        <v>0</v>
      </c>
      <c r="AE111" s="81">
        <f t="shared" si="47"/>
        <v>0</v>
      </c>
      <c r="AF111" s="81">
        <f t="shared" si="63"/>
        <v>0</v>
      </c>
      <c r="AG111" s="81">
        <f t="shared" si="48"/>
        <v>0</v>
      </c>
    </row>
    <row r="112" spans="1:33" ht="15.5" x14ac:dyDescent="0.35">
      <c r="A112" s="57">
        <v>100</v>
      </c>
      <c r="B112" s="80">
        <f t="shared" si="49"/>
        <v>0</v>
      </c>
      <c r="C112" s="81">
        <f t="shared" si="50"/>
        <v>0</v>
      </c>
      <c r="D112" s="81">
        <f t="shared" si="51"/>
        <v>0</v>
      </c>
      <c r="E112" s="81">
        <f t="shared" si="34"/>
        <v>0</v>
      </c>
      <c r="F112" s="81">
        <f t="shared" si="52"/>
        <v>0</v>
      </c>
      <c r="G112" s="81">
        <f t="shared" si="35"/>
        <v>0</v>
      </c>
      <c r="H112" s="81">
        <f t="shared" si="53"/>
        <v>0</v>
      </c>
      <c r="I112" s="81">
        <f t="shared" si="36"/>
        <v>0</v>
      </c>
      <c r="J112" s="81">
        <f t="shared" si="54"/>
        <v>0</v>
      </c>
      <c r="K112" s="81">
        <f t="shared" si="37"/>
        <v>0</v>
      </c>
      <c r="L112" s="81">
        <f t="shared" si="55"/>
        <v>0</v>
      </c>
      <c r="M112" s="81">
        <f t="shared" si="38"/>
        <v>0</v>
      </c>
      <c r="N112" s="81">
        <f t="shared" si="56"/>
        <v>0</v>
      </c>
      <c r="O112" s="81">
        <f t="shared" si="39"/>
        <v>0</v>
      </c>
      <c r="P112" s="81">
        <f t="shared" si="57"/>
        <v>0</v>
      </c>
      <c r="Q112" s="81">
        <f t="shared" si="40"/>
        <v>0</v>
      </c>
      <c r="R112" s="81">
        <f t="shared" si="58"/>
        <v>0</v>
      </c>
      <c r="S112" s="81">
        <f t="shared" si="41"/>
        <v>0</v>
      </c>
      <c r="T112" s="81">
        <f t="shared" si="59"/>
        <v>0</v>
      </c>
      <c r="U112" s="81">
        <f t="shared" si="42"/>
        <v>0</v>
      </c>
      <c r="V112" s="81">
        <f t="shared" si="60"/>
        <v>0</v>
      </c>
      <c r="W112" s="81">
        <f t="shared" si="43"/>
        <v>0</v>
      </c>
      <c r="X112" s="81">
        <f t="shared" si="61"/>
        <v>0</v>
      </c>
      <c r="Y112" s="81">
        <f t="shared" si="44"/>
        <v>0</v>
      </c>
      <c r="Z112" s="81">
        <f t="shared" si="65"/>
        <v>0</v>
      </c>
      <c r="AA112" s="81">
        <f t="shared" si="45"/>
        <v>0</v>
      </c>
      <c r="AB112" s="81">
        <f t="shared" si="64"/>
        <v>0</v>
      </c>
      <c r="AC112" s="81">
        <f t="shared" si="46"/>
        <v>0</v>
      </c>
      <c r="AD112" s="81">
        <f t="shared" si="62"/>
        <v>0</v>
      </c>
      <c r="AE112" s="81">
        <f t="shared" si="47"/>
        <v>0</v>
      </c>
      <c r="AF112" s="81">
        <f t="shared" si="63"/>
        <v>0</v>
      </c>
      <c r="AG112" s="81">
        <f t="shared" si="48"/>
        <v>0</v>
      </c>
    </row>
    <row r="113" spans="1:33" ht="15.5" x14ac:dyDescent="0.35">
      <c r="A113" s="57">
        <v>101</v>
      </c>
      <c r="B113" s="80">
        <f t="shared" si="49"/>
        <v>0</v>
      </c>
      <c r="C113" s="81">
        <f t="shared" si="50"/>
        <v>0</v>
      </c>
      <c r="D113" s="81">
        <f t="shared" si="51"/>
        <v>0</v>
      </c>
      <c r="E113" s="81">
        <f t="shared" si="34"/>
        <v>0</v>
      </c>
      <c r="F113" s="81">
        <f t="shared" si="52"/>
        <v>0</v>
      </c>
      <c r="G113" s="81">
        <f t="shared" si="35"/>
        <v>0</v>
      </c>
      <c r="H113" s="81">
        <f t="shared" si="53"/>
        <v>0</v>
      </c>
      <c r="I113" s="81">
        <f t="shared" si="36"/>
        <v>0</v>
      </c>
      <c r="J113" s="81">
        <f t="shared" si="54"/>
        <v>0</v>
      </c>
      <c r="K113" s="81">
        <f t="shared" si="37"/>
        <v>0</v>
      </c>
      <c r="L113" s="81">
        <f t="shared" si="55"/>
        <v>0</v>
      </c>
      <c r="M113" s="81">
        <f t="shared" si="38"/>
        <v>0</v>
      </c>
      <c r="N113" s="81">
        <f t="shared" si="56"/>
        <v>0</v>
      </c>
      <c r="O113" s="81">
        <f t="shared" si="39"/>
        <v>0</v>
      </c>
      <c r="P113" s="81">
        <f t="shared" si="57"/>
        <v>0</v>
      </c>
      <c r="Q113" s="81">
        <f t="shared" si="40"/>
        <v>0</v>
      </c>
      <c r="R113" s="81">
        <f t="shared" si="58"/>
        <v>0</v>
      </c>
      <c r="S113" s="81">
        <f t="shared" si="41"/>
        <v>0</v>
      </c>
      <c r="T113" s="81">
        <f t="shared" si="59"/>
        <v>0</v>
      </c>
      <c r="U113" s="81">
        <f t="shared" si="42"/>
        <v>0</v>
      </c>
      <c r="V113" s="81">
        <f t="shared" si="60"/>
        <v>0</v>
      </c>
      <c r="W113" s="81">
        <f t="shared" si="43"/>
        <v>0</v>
      </c>
      <c r="X113" s="81">
        <f t="shared" si="61"/>
        <v>0</v>
      </c>
      <c r="Y113" s="81">
        <f t="shared" si="44"/>
        <v>0</v>
      </c>
      <c r="Z113" s="81">
        <f t="shared" si="65"/>
        <v>0</v>
      </c>
      <c r="AA113" s="81">
        <f t="shared" si="45"/>
        <v>0</v>
      </c>
      <c r="AB113" s="81">
        <f t="shared" si="64"/>
        <v>0</v>
      </c>
      <c r="AC113" s="81">
        <f t="shared" si="46"/>
        <v>0</v>
      </c>
      <c r="AD113" s="81">
        <f t="shared" si="62"/>
        <v>0</v>
      </c>
      <c r="AE113" s="81">
        <f t="shared" si="47"/>
        <v>0</v>
      </c>
      <c r="AF113" s="81">
        <f t="shared" si="63"/>
        <v>0</v>
      </c>
      <c r="AG113" s="81">
        <f t="shared" si="48"/>
        <v>0</v>
      </c>
    </row>
    <row r="114" spans="1:33" ht="15.5" x14ac:dyDescent="0.35">
      <c r="A114" s="57">
        <v>102</v>
      </c>
      <c r="B114" s="80">
        <f t="shared" si="49"/>
        <v>0</v>
      </c>
      <c r="C114" s="81">
        <f t="shared" si="50"/>
        <v>0</v>
      </c>
      <c r="D114" s="81">
        <f t="shared" si="51"/>
        <v>0</v>
      </c>
      <c r="E114" s="81">
        <f t="shared" si="34"/>
        <v>0</v>
      </c>
      <c r="F114" s="81">
        <f t="shared" si="52"/>
        <v>0</v>
      </c>
      <c r="G114" s="81">
        <f t="shared" si="35"/>
        <v>0</v>
      </c>
      <c r="H114" s="81">
        <f t="shared" si="53"/>
        <v>0</v>
      </c>
      <c r="I114" s="81">
        <f t="shared" si="36"/>
        <v>0</v>
      </c>
      <c r="J114" s="81">
        <f t="shared" si="54"/>
        <v>0</v>
      </c>
      <c r="K114" s="81">
        <f t="shared" si="37"/>
        <v>0</v>
      </c>
      <c r="L114" s="81">
        <f t="shared" si="55"/>
        <v>0</v>
      </c>
      <c r="M114" s="81">
        <f t="shared" si="38"/>
        <v>0</v>
      </c>
      <c r="N114" s="81">
        <f t="shared" si="56"/>
        <v>0</v>
      </c>
      <c r="O114" s="81">
        <f t="shared" si="39"/>
        <v>0</v>
      </c>
      <c r="P114" s="81">
        <f t="shared" si="57"/>
        <v>0</v>
      </c>
      <c r="Q114" s="81">
        <f t="shared" si="40"/>
        <v>0</v>
      </c>
      <c r="R114" s="81">
        <f t="shared" si="58"/>
        <v>0</v>
      </c>
      <c r="S114" s="81">
        <f t="shared" si="41"/>
        <v>0</v>
      </c>
      <c r="T114" s="81">
        <f t="shared" si="59"/>
        <v>0</v>
      </c>
      <c r="U114" s="81">
        <f t="shared" si="42"/>
        <v>0</v>
      </c>
      <c r="V114" s="81">
        <f t="shared" si="60"/>
        <v>0</v>
      </c>
      <c r="W114" s="81">
        <f t="shared" si="43"/>
        <v>0</v>
      </c>
      <c r="X114" s="81">
        <f t="shared" si="61"/>
        <v>0</v>
      </c>
      <c r="Y114" s="81">
        <f t="shared" si="44"/>
        <v>0</v>
      </c>
      <c r="Z114" s="81">
        <f t="shared" si="65"/>
        <v>0</v>
      </c>
      <c r="AA114" s="81">
        <f t="shared" si="45"/>
        <v>0</v>
      </c>
      <c r="AB114" s="81">
        <f t="shared" si="64"/>
        <v>0</v>
      </c>
      <c r="AC114" s="81">
        <f t="shared" si="46"/>
        <v>0</v>
      </c>
      <c r="AD114" s="81">
        <f t="shared" si="62"/>
        <v>0</v>
      </c>
      <c r="AE114" s="81">
        <f t="shared" si="47"/>
        <v>0</v>
      </c>
      <c r="AF114" s="81">
        <f t="shared" si="63"/>
        <v>0</v>
      </c>
      <c r="AG114" s="81">
        <f t="shared" si="48"/>
        <v>0</v>
      </c>
    </row>
    <row r="115" spans="1:33" ht="15.5" x14ac:dyDescent="0.35">
      <c r="A115" s="57">
        <v>103</v>
      </c>
      <c r="B115" s="80">
        <f t="shared" si="49"/>
        <v>0</v>
      </c>
      <c r="C115" s="81">
        <f t="shared" si="50"/>
        <v>0</v>
      </c>
      <c r="D115" s="81">
        <f t="shared" si="51"/>
        <v>0</v>
      </c>
      <c r="E115" s="81">
        <f t="shared" si="34"/>
        <v>0</v>
      </c>
      <c r="F115" s="81">
        <f t="shared" si="52"/>
        <v>0</v>
      </c>
      <c r="G115" s="81">
        <f t="shared" si="35"/>
        <v>0</v>
      </c>
      <c r="H115" s="81">
        <f t="shared" si="53"/>
        <v>0</v>
      </c>
      <c r="I115" s="81">
        <f t="shared" si="36"/>
        <v>0</v>
      </c>
      <c r="J115" s="81">
        <f t="shared" si="54"/>
        <v>0</v>
      </c>
      <c r="K115" s="81">
        <f t="shared" si="37"/>
        <v>0</v>
      </c>
      <c r="L115" s="81">
        <f t="shared" si="55"/>
        <v>0</v>
      </c>
      <c r="M115" s="81">
        <f t="shared" si="38"/>
        <v>0</v>
      </c>
      <c r="N115" s="81">
        <f t="shared" si="56"/>
        <v>0</v>
      </c>
      <c r="O115" s="81">
        <f t="shared" si="39"/>
        <v>0</v>
      </c>
      <c r="P115" s="81">
        <f t="shared" si="57"/>
        <v>0</v>
      </c>
      <c r="Q115" s="81">
        <f t="shared" si="40"/>
        <v>0</v>
      </c>
      <c r="R115" s="81">
        <f t="shared" si="58"/>
        <v>0</v>
      </c>
      <c r="S115" s="81">
        <f t="shared" si="41"/>
        <v>0</v>
      </c>
      <c r="T115" s="81">
        <f t="shared" si="59"/>
        <v>0</v>
      </c>
      <c r="U115" s="81">
        <f t="shared" si="42"/>
        <v>0</v>
      </c>
      <c r="V115" s="81">
        <f t="shared" si="60"/>
        <v>0</v>
      </c>
      <c r="W115" s="81">
        <f t="shared" si="43"/>
        <v>0</v>
      </c>
      <c r="X115" s="81">
        <f t="shared" si="61"/>
        <v>0</v>
      </c>
      <c r="Y115" s="81">
        <f t="shared" si="44"/>
        <v>0</v>
      </c>
      <c r="Z115" s="81">
        <f t="shared" si="65"/>
        <v>0</v>
      </c>
      <c r="AA115" s="81">
        <f t="shared" si="45"/>
        <v>0</v>
      </c>
      <c r="AB115" s="81">
        <f t="shared" si="64"/>
        <v>0</v>
      </c>
      <c r="AC115" s="81">
        <f t="shared" si="46"/>
        <v>0</v>
      </c>
      <c r="AD115" s="81">
        <f t="shared" si="62"/>
        <v>0</v>
      </c>
      <c r="AE115" s="81">
        <f t="shared" si="47"/>
        <v>0</v>
      </c>
      <c r="AF115" s="81">
        <f t="shared" si="63"/>
        <v>0</v>
      </c>
      <c r="AG115" s="81">
        <f t="shared" si="48"/>
        <v>0</v>
      </c>
    </row>
    <row r="116" spans="1:33" ht="15.5" x14ac:dyDescent="0.35">
      <c r="A116" s="57">
        <v>104</v>
      </c>
      <c r="B116" s="80">
        <f t="shared" si="49"/>
        <v>0</v>
      </c>
      <c r="C116" s="81">
        <f t="shared" si="50"/>
        <v>0</v>
      </c>
      <c r="D116" s="81">
        <f t="shared" si="51"/>
        <v>0</v>
      </c>
      <c r="E116" s="81">
        <f t="shared" si="34"/>
        <v>0</v>
      </c>
      <c r="F116" s="81">
        <f t="shared" si="52"/>
        <v>0</v>
      </c>
      <c r="G116" s="81">
        <f t="shared" si="35"/>
        <v>0</v>
      </c>
      <c r="H116" s="81">
        <f t="shared" si="53"/>
        <v>0</v>
      </c>
      <c r="I116" s="81">
        <f t="shared" si="36"/>
        <v>0</v>
      </c>
      <c r="J116" s="81">
        <f t="shared" si="54"/>
        <v>0</v>
      </c>
      <c r="K116" s="81">
        <f t="shared" si="37"/>
        <v>0</v>
      </c>
      <c r="L116" s="81">
        <f t="shared" si="55"/>
        <v>0</v>
      </c>
      <c r="M116" s="81">
        <f t="shared" si="38"/>
        <v>0</v>
      </c>
      <c r="N116" s="81">
        <f t="shared" si="56"/>
        <v>0</v>
      </c>
      <c r="O116" s="81">
        <f t="shared" si="39"/>
        <v>0</v>
      </c>
      <c r="P116" s="81">
        <f t="shared" si="57"/>
        <v>0</v>
      </c>
      <c r="Q116" s="81">
        <f t="shared" si="40"/>
        <v>0</v>
      </c>
      <c r="R116" s="81">
        <f t="shared" si="58"/>
        <v>0</v>
      </c>
      <c r="S116" s="81">
        <f t="shared" si="41"/>
        <v>0</v>
      </c>
      <c r="T116" s="81">
        <f t="shared" si="59"/>
        <v>0</v>
      </c>
      <c r="U116" s="81">
        <f t="shared" si="42"/>
        <v>0</v>
      </c>
      <c r="V116" s="81">
        <f t="shared" si="60"/>
        <v>0</v>
      </c>
      <c r="W116" s="81">
        <f t="shared" si="43"/>
        <v>0</v>
      </c>
      <c r="X116" s="81">
        <f t="shared" si="61"/>
        <v>0</v>
      </c>
      <c r="Y116" s="81">
        <f t="shared" si="44"/>
        <v>0</v>
      </c>
      <c r="Z116" s="81">
        <f t="shared" si="65"/>
        <v>0</v>
      </c>
      <c r="AA116" s="81">
        <f t="shared" si="45"/>
        <v>0</v>
      </c>
      <c r="AB116" s="81">
        <f t="shared" si="64"/>
        <v>0</v>
      </c>
      <c r="AC116" s="81">
        <f t="shared" si="46"/>
        <v>0</v>
      </c>
      <c r="AD116" s="81">
        <f t="shared" si="62"/>
        <v>0</v>
      </c>
      <c r="AE116" s="81">
        <f t="shared" si="47"/>
        <v>0</v>
      </c>
      <c r="AF116" s="81">
        <f t="shared" si="63"/>
        <v>0</v>
      </c>
      <c r="AG116" s="81">
        <f t="shared" si="48"/>
        <v>0</v>
      </c>
    </row>
    <row r="117" spans="1:33" ht="15.5" x14ac:dyDescent="0.35">
      <c r="A117" s="57">
        <v>105</v>
      </c>
      <c r="B117" s="80">
        <f t="shared" si="49"/>
        <v>0</v>
      </c>
      <c r="C117" s="81">
        <f t="shared" si="50"/>
        <v>0</v>
      </c>
      <c r="D117" s="81">
        <f t="shared" si="51"/>
        <v>0</v>
      </c>
      <c r="E117" s="81">
        <f t="shared" si="34"/>
        <v>0</v>
      </c>
      <c r="F117" s="81">
        <f t="shared" si="52"/>
        <v>0</v>
      </c>
      <c r="G117" s="81">
        <f t="shared" si="35"/>
        <v>0</v>
      </c>
      <c r="H117" s="81">
        <f t="shared" si="53"/>
        <v>0</v>
      </c>
      <c r="I117" s="81">
        <f t="shared" si="36"/>
        <v>0</v>
      </c>
      <c r="J117" s="81">
        <f t="shared" si="54"/>
        <v>0</v>
      </c>
      <c r="K117" s="81">
        <f t="shared" si="37"/>
        <v>0</v>
      </c>
      <c r="L117" s="81">
        <f t="shared" si="55"/>
        <v>0</v>
      </c>
      <c r="M117" s="81">
        <f t="shared" si="38"/>
        <v>0</v>
      </c>
      <c r="N117" s="81">
        <f t="shared" si="56"/>
        <v>0</v>
      </c>
      <c r="O117" s="81">
        <f t="shared" si="39"/>
        <v>0</v>
      </c>
      <c r="P117" s="81">
        <f t="shared" si="57"/>
        <v>0</v>
      </c>
      <c r="Q117" s="81">
        <f t="shared" si="40"/>
        <v>0</v>
      </c>
      <c r="R117" s="81">
        <f t="shared" si="58"/>
        <v>0</v>
      </c>
      <c r="S117" s="81">
        <f t="shared" si="41"/>
        <v>0</v>
      </c>
      <c r="T117" s="81">
        <f t="shared" si="59"/>
        <v>0</v>
      </c>
      <c r="U117" s="81">
        <f t="shared" si="42"/>
        <v>0</v>
      </c>
      <c r="V117" s="81">
        <f t="shared" si="60"/>
        <v>0</v>
      </c>
      <c r="W117" s="81">
        <f t="shared" si="43"/>
        <v>0</v>
      </c>
      <c r="X117" s="81">
        <f t="shared" si="61"/>
        <v>0</v>
      </c>
      <c r="Y117" s="81">
        <f t="shared" si="44"/>
        <v>0</v>
      </c>
      <c r="Z117" s="81">
        <f t="shared" si="65"/>
        <v>0</v>
      </c>
      <c r="AA117" s="81">
        <f t="shared" si="45"/>
        <v>0</v>
      </c>
      <c r="AB117" s="81">
        <f t="shared" si="64"/>
        <v>0</v>
      </c>
      <c r="AC117" s="81">
        <f t="shared" si="46"/>
        <v>0</v>
      </c>
      <c r="AD117" s="81">
        <f t="shared" si="62"/>
        <v>0</v>
      </c>
      <c r="AE117" s="81">
        <f t="shared" si="47"/>
        <v>0</v>
      </c>
      <c r="AF117" s="81">
        <f t="shared" si="63"/>
        <v>0</v>
      </c>
      <c r="AG117" s="81">
        <f t="shared" si="48"/>
        <v>0</v>
      </c>
    </row>
    <row r="118" spans="1:33" ht="15.5" x14ac:dyDescent="0.35">
      <c r="A118" s="57">
        <v>106</v>
      </c>
      <c r="B118" s="80">
        <f t="shared" si="49"/>
        <v>0</v>
      </c>
      <c r="C118" s="81">
        <f t="shared" si="50"/>
        <v>0</v>
      </c>
      <c r="D118" s="81">
        <f t="shared" si="51"/>
        <v>0</v>
      </c>
      <c r="E118" s="81">
        <f t="shared" si="34"/>
        <v>0</v>
      </c>
      <c r="F118" s="81">
        <f t="shared" si="52"/>
        <v>0</v>
      </c>
      <c r="G118" s="81">
        <f t="shared" si="35"/>
        <v>0</v>
      </c>
      <c r="H118" s="81">
        <f t="shared" si="53"/>
        <v>0</v>
      </c>
      <c r="I118" s="81">
        <f t="shared" si="36"/>
        <v>0</v>
      </c>
      <c r="J118" s="81">
        <f t="shared" si="54"/>
        <v>0</v>
      </c>
      <c r="K118" s="81">
        <f t="shared" si="37"/>
        <v>0</v>
      </c>
      <c r="L118" s="81">
        <f t="shared" si="55"/>
        <v>0</v>
      </c>
      <c r="M118" s="81">
        <f t="shared" si="38"/>
        <v>0</v>
      </c>
      <c r="N118" s="81">
        <f t="shared" si="56"/>
        <v>0</v>
      </c>
      <c r="O118" s="81">
        <f t="shared" si="39"/>
        <v>0</v>
      </c>
      <c r="P118" s="81">
        <f t="shared" si="57"/>
        <v>0</v>
      </c>
      <c r="Q118" s="81">
        <f t="shared" si="40"/>
        <v>0</v>
      </c>
      <c r="R118" s="81">
        <f t="shared" si="58"/>
        <v>0</v>
      </c>
      <c r="S118" s="81">
        <f t="shared" si="41"/>
        <v>0</v>
      </c>
      <c r="T118" s="81">
        <f t="shared" si="59"/>
        <v>0</v>
      </c>
      <c r="U118" s="81">
        <f t="shared" si="42"/>
        <v>0</v>
      </c>
      <c r="V118" s="81">
        <f t="shared" si="60"/>
        <v>0</v>
      </c>
      <c r="W118" s="81">
        <f t="shared" si="43"/>
        <v>0</v>
      </c>
      <c r="X118" s="81">
        <f t="shared" si="61"/>
        <v>0</v>
      </c>
      <c r="Y118" s="81">
        <f t="shared" si="44"/>
        <v>0</v>
      </c>
      <c r="Z118" s="81">
        <f t="shared" si="65"/>
        <v>0</v>
      </c>
      <c r="AA118" s="81">
        <f t="shared" si="45"/>
        <v>0</v>
      </c>
      <c r="AB118" s="81">
        <f t="shared" si="64"/>
        <v>0</v>
      </c>
      <c r="AC118" s="81">
        <f t="shared" si="46"/>
        <v>0</v>
      </c>
      <c r="AD118" s="81">
        <f t="shared" si="62"/>
        <v>0</v>
      </c>
      <c r="AE118" s="81">
        <f t="shared" si="47"/>
        <v>0</v>
      </c>
      <c r="AF118" s="81">
        <f t="shared" si="63"/>
        <v>0</v>
      </c>
      <c r="AG118" s="81">
        <f t="shared" si="48"/>
        <v>0</v>
      </c>
    </row>
    <row r="119" spans="1:33" ht="15.5" x14ac:dyDescent="0.35">
      <c r="A119" s="57">
        <v>107</v>
      </c>
      <c r="B119" s="80">
        <f t="shared" si="49"/>
        <v>0</v>
      </c>
      <c r="C119" s="81">
        <f t="shared" si="50"/>
        <v>0</v>
      </c>
      <c r="D119" s="81">
        <f t="shared" si="51"/>
        <v>0</v>
      </c>
      <c r="E119" s="81">
        <f t="shared" si="34"/>
        <v>0</v>
      </c>
      <c r="F119" s="81">
        <f t="shared" si="52"/>
        <v>0</v>
      </c>
      <c r="G119" s="81">
        <f t="shared" si="35"/>
        <v>0</v>
      </c>
      <c r="H119" s="81">
        <f t="shared" si="53"/>
        <v>0</v>
      </c>
      <c r="I119" s="81">
        <f t="shared" si="36"/>
        <v>0</v>
      </c>
      <c r="J119" s="81">
        <f t="shared" si="54"/>
        <v>0</v>
      </c>
      <c r="K119" s="81">
        <f t="shared" si="37"/>
        <v>0</v>
      </c>
      <c r="L119" s="81">
        <f t="shared" si="55"/>
        <v>0</v>
      </c>
      <c r="M119" s="81">
        <f t="shared" si="38"/>
        <v>0</v>
      </c>
      <c r="N119" s="81">
        <f t="shared" si="56"/>
        <v>0</v>
      </c>
      <c r="O119" s="81">
        <f t="shared" si="39"/>
        <v>0</v>
      </c>
      <c r="P119" s="81">
        <f t="shared" si="57"/>
        <v>0</v>
      </c>
      <c r="Q119" s="81">
        <f t="shared" si="40"/>
        <v>0</v>
      </c>
      <c r="R119" s="81">
        <f t="shared" si="58"/>
        <v>0</v>
      </c>
      <c r="S119" s="81">
        <f t="shared" si="41"/>
        <v>0</v>
      </c>
      <c r="T119" s="81">
        <f t="shared" si="59"/>
        <v>0</v>
      </c>
      <c r="U119" s="81">
        <f t="shared" si="42"/>
        <v>0</v>
      </c>
      <c r="V119" s="81">
        <f t="shared" si="60"/>
        <v>0</v>
      </c>
      <c r="W119" s="81">
        <f t="shared" si="43"/>
        <v>0</v>
      </c>
      <c r="X119" s="81">
        <f t="shared" si="61"/>
        <v>0</v>
      </c>
      <c r="Y119" s="81">
        <f t="shared" si="44"/>
        <v>0</v>
      </c>
      <c r="Z119" s="81">
        <f t="shared" si="65"/>
        <v>0</v>
      </c>
      <c r="AA119" s="81">
        <f t="shared" si="45"/>
        <v>0</v>
      </c>
      <c r="AB119" s="81">
        <f t="shared" si="64"/>
        <v>0</v>
      </c>
      <c r="AC119" s="81">
        <f t="shared" si="46"/>
        <v>0</v>
      </c>
      <c r="AD119" s="81">
        <f t="shared" si="62"/>
        <v>0</v>
      </c>
      <c r="AE119" s="81">
        <f t="shared" si="47"/>
        <v>0</v>
      </c>
      <c r="AF119" s="81">
        <f t="shared" si="63"/>
        <v>0</v>
      </c>
      <c r="AG119" s="81">
        <f t="shared" si="48"/>
        <v>0</v>
      </c>
    </row>
    <row r="120" spans="1:33" ht="15.5" x14ac:dyDescent="0.35">
      <c r="A120" s="57">
        <v>108</v>
      </c>
      <c r="B120" s="80">
        <f t="shared" si="49"/>
        <v>0</v>
      </c>
      <c r="C120" s="81">
        <f t="shared" si="50"/>
        <v>0</v>
      </c>
      <c r="D120" s="81">
        <f t="shared" si="51"/>
        <v>0</v>
      </c>
      <c r="E120" s="81">
        <f t="shared" si="34"/>
        <v>0</v>
      </c>
      <c r="F120" s="81">
        <f t="shared" si="52"/>
        <v>0</v>
      </c>
      <c r="G120" s="81">
        <f t="shared" si="35"/>
        <v>0</v>
      </c>
      <c r="H120" s="81">
        <f t="shared" si="53"/>
        <v>0</v>
      </c>
      <c r="I120" s="81">
        <f t="shared" si="36"/>
        <v>0</v>
      </c>
      <c r="J120" s="81">
        <f t="shared" si="54"/>
        <v>0</v>
      </c>
      <c r="K120" s="81">
        <f t="shared" si="37"/>
        <v>0</v>
      </c>
      <c r="L120" s="81">
        <f t="shared" si="55"/>
        <v>0</v>
      </c>
      <c r="M120" s="81">
        <f t="shared" si="38"/>
        <v>0</v>
      </c>
      <c r="N120" s="81">
        <f t="shared" si="56"/>
        <v>0</v>
      </c>
      <c r="O120" s="81">
        <f t="shared" si="39"/>
        <v>0</v>
      </c>
      <c r="P120" s="81">
        <f t="shared" si="57"/>
        <v>0</v>
      </c>
      <c r="Q120" s="81">
        <f t="shared" si="40"/>
        <v>0</v>
      </c>
      <c r="R120" s="81">
        <f t="shared" si="58"/>
        <v>0</v>
      </c>
      <c r="S120" s="81">
        <f t="shared" si="41"/>
        <v>0</v>
      </c>
      <c r="T120" s="81">
        <f t="shared" si="59"/>
        <v>0</v>
      </c>
      <c r="U120" s="81">
        <f t="shared" si="42"/>
        <v>0</v>
      </c>
      <c r="V120" s="81">
        <f t="shared" si="60"/>
        <v>0</v>
      </c>
      <c r="W120" s="81">
        <f t="shared" si="43"/>
        <v>0</v>
      </c>
      <c r="X120" s="81">
        <f t="shared" si="61"/>
        <v>0</v>
      </c>
      <c r="Y120" s="81">
        <f t="shared" si="44"/>
        <v>0</v>
      </c>
      <c r="Z120" s="81">
        <f t="shared" si="65"/>
        <v>0</v>
      </c>
      <c r="AA120" s="81">
        <f t="shared" si="45"/>
        <v>0</v>
      </c>
      <c r="AB120" s="81">
        <f t="shared" si="64"/>
        <v>0</v>
      </c>
      <c r="AC120" s="81">
        <f t="shared" si="46"/>
        <v>0</v>
      </c>
      <c r="AD120" s="81">
        <f t="shared" si="62"/>
        <v>0</v>
      </c>
      <c r="AE120" s="81">
        <f t="shared" si="47"/>
        <v>0</v>
      </c>
      <c r="AF120" s="81">
        <f t="shared" si="63"/>
        <v>0</v>
      </c>
      <c r="AG120" s="81">
        <f t="shared" si="48"/>
        <v>0</v>
      </c>
    </row>
    <row r="121" spans="1:33" ht="15.5" x14ac:dyDescent="0.35">
      <c r="A121" s="57">
        <v>109</v>
      </c>
      <c r="B121" s="80">
        <f t="shared" si="49"/>
        <v>0</v>
      </c>
      <c r="C121" s="81">
        <f t="shared" si="50"/>
        <v>0</v>
      </c>
      <c r="D121" s="81">
        <f t="shared" si="51"/>
        <v>0</v>
      </c>
      <c r="E121" s="81">
        <f t="shared" si="34"/>
        <v>0</v>
      </c>
      <c r="F121" s="81">
        <f t="shared" si="52"/>
        <v>0</v>
      </c>
      <c r="G121" s="81">
        <f t="shared" si="35"/>
        <v>0</v>
      </c>
      <c r="H121" s="81">
        <f t="shared" si="53"/>
        <v>0</v>
      </c>
      <c r="I121" s="81">
        <f t="shared" si="36"/>
        <v>0</v>
      </c>
      <c r="J121" s="81">
        <f t="shared" si="54"/>
        <v>0</v>
      </c>
      <c r="K121" s="81">
        <f t="shared" si="37"/>
        <v>0</v>
      </c>
      <c r="L121" s="81">
        <f t="shared" si="55"/>
        <v>0</v>
      </c>
      <c r="M121" s="81">
        <f t="shared" si="38"/>
        <v>0</v>
      </c>
      <c r="N121" s="81">
        <f t="shared" si="56"/>
        <v>0</v>
      </c>
      <c r="O121" s="81">
        <f t="shared" si="39"/>
        <v>0</v>
      </c>
      <c r="P121" s="81">
        <f t="shared" si="57"/>
        <v>0</v>
      </c>
      <c r="Q121" s="81">
        <f t="shared" si="40"/>
        <v>0</v>
      </c>
      <c r="R121" s="81">
        <f t="shared" si="58"/>
        <v>0</v>
      </c>
      <c r="S121" s="81">
        <f t="shared" si="41"/>
        <v>0</v>
      </c>
      <c r="T121" s="81">
        <f t="shared" si="59"/>
        <v>0</v>
      </c>
      <c r="U121" s="81">
        <f t="shared" si="42"/>
        <v>0</v>
      </c>
      <c r="V121" s="81">
        <f t="shared" si="60"/>
        <v>0</v>
      </c>
      <c r="W121" s="81">
        <f t="shared" si="43"/>
        <v>0</v>
      </c>
      <c r="X121" s="81">
        <f t="shared" si="61"/>
        <v>0</v>
      </c>
      <c r="Y121" s="81">
        <f t="shared" si="44"/>
        <v>0</v>
      </c>
      <c r="Z121" s="81">
        <f t="shared" si="65"/>
        <v>0</v>
      </c>
      <c r="AA121" s="81">
        <f t="shared" si="45"/>
        <v>0</v>
      </c>
      <c r="AB121" s="81">
        <f t="shared" si="64"/>
        <v>0</v>
      </c>
      <c r="AC121" s="81">
        <f t="shared" si="46"/>
        <v>0</v>
      </c>
      <c r="AD121" s="81">
        <f t="shared" si="62"/>
        <v>0</v>
      </c>
      <c r="AE121" s="81">
        <f t="shared" si="47"/>
        <v>0</v>
      </c>
      <c r="AF121" s="81">
        <f t="shared" si="63"/>
        <v>0</v>
      </c>
      <c r="AG121" s="81">
        <f t="shared" si="48"/>
        <v>0</v>
      </c>
    </row>
    <row r="122" spans="1:33" ht="15.5" x14ac:dyDescent="0.35">
      <c r="A122" s="57">
        <v>110</v>
      </c>
      <c r="B122" s="80">
        <f t="shared" si="49"/>
        <v>0</v>
      </c>
      <c r="C122" s="81">
        <f t="shared" si="50"/>
        <v>0</v>
      </c>
      <c r="D122" s="81">
        <f t="shared" si="51"/>
        <v>0</v>
      </c>
      <c r="E122" s="81">
        <f t="shared" si="34"/>
        <v>0</v>
      </c>
      <c r="F122" s="81">
        <f t="shared" si="52"/>
        <v>0</v>
      </c>
      <c r="G122" s="81">
        <f t="shared" si="35"/>
        <v>0</v>
      </c>
      <c r="H122" s="81">
        <f t="shared" si="53"/>
        <v>0</v>
      </c>
      <c r="I122" s="81">
        <f t="shared" si="36"/>
        <v>0</v>
      </c>
      <c r="J122" s="81">
        <f t="shared" si="54"/>
        <v>0</v>
      </c>
      <c r="K122" s="81">
        <f t="shared" si="37"/>
        <v>0</v>
      </c>
      <c r="L122" s="81">
        <f t="shared" si="55"/>
        <v>0</v>
      </c>
      <c r="M122" s="81">
        <f t="shared" si="38"/>
        <v>0</v>
      </c>
      <c r="N122" s="81">
        <f t="shared" si="56"/>
        <v>0</v>
      </c>
      <c r="O122" s="81">
        <f t="shared" si="39"/>
        <v>0</v>
      </c>
      <c r="P122" s="81">
        <f t="shared" si="57"/>
        <v>0</v>
      </c>
      <c r="Q122" s="81">
        <f t="shared" si="40"/>
        <v>0</v>
      </c>
      <c r="R122" s="81">
        <f t="shared" si="58"/>
        <v>0</v>
      </c>
      <c r="S122" s="81">
        <f t="shared" si="41"/>
        <v>0</v>
      </c>
      <c r="T122" s="81">
        <f t="shared" si="59"/>
        <v>0</v>
      </c>
      <c r="U122" s="81">
        <f t="shared" si="42"/>
        <v>0</v>
      </c>
      <c r="V122" s="81">
        <f t="shared" si="60"/>
        <v>0</v>
      </c>
      <c r="W122" s="81">
        <f t="shared" si="43"/>
        <v>0</v>
      </c>
      <c r="X122" s="81">
        <f t="shared" si="61"/>
        <v>0</v>
      </c>
      <c r="Y122" s="81">
        <f t="shared" si="44"/>
        <v>0</v>
      </c>
      <c r="Z122" s="81">
        <f t="shared" si="65"/>
        <v>0</v>
      </c>
      <c r="AA122" s="81">
        <f t="shared" si="45"/>
        <v>0</v>
      </c>
      <c r="AB122" s="81">
        <f t="shared" si="64"/>
        <v>0</v>
      </c>
      <c r="AC122" s="81">
        <f t="shared" si="46"/>
        <v>0</v>
      </c>
      <c r="AD122" s="81">
        <f t="shared" si="62"/>
        <v>0</v>
      </c>
      <c r="AE122" s="81">
        <f t="shared" si="47"/>
        <v>0</v>
      </c>
      <c r="AF122" s="81">
        <f t="shared" si="63"/>
        <v>0</v>
      </c>
      <c r="AG122" s="81">
        <f t="shared" si="48"/>
        <v>0</v>
      </c>
    </row>
    <row r="123" spans="1:33" ht="15.5" x14ac:dyDescent="0.35">
      <c r="A123" s="57">
        <v>111</v>
      </c>
      <c r="B123" s="80">
        <f t="shared" si="49"/>
        <v>0</v>
      </c>
      <c r="C123" s="81">
        <f t="shared" si="50"/>
        <v>0</v>
      </c>
      <c r="D123" s="81">
        <f t="shared" si="51"/>
        <v>0</v>
      </c>
      <c r="E123" s="81">
        <f t="shared" si="34"/>
        <v>0</v>
      </c>
      <c r="F123" s="81">
        <f t="shared" si="52"/>
        <v>0</v>
      </c>
      <c r="G123" s="81">
        <f t="shared" si="35"/>
        <v>0</v>
      </c>
      <c r="H123" s="81">
        <f t="shared" si="53"/>
        <v>0</v>
      </c>
      <c r="I123" s="81">
        <f t="shared" si="36"/>
        <v>0</v>
      </c>
      <c r="J123" s="81">
        <f t="shared" si="54"/>
        <v>0</v>
      </c>
      <c r="K123" s="81">
        <f t="shared" si="37"/>
        <v>0</v>
      </c>
      <c r="L123" s="81">
        <f t="shared" si="55"/>
        <v>0</v>
      </c>
      <c r="M123" s="81">
        <f t="shared" si="38"/>
        <v>0</v>
      </c>
      <c r="N123" s="81">
        <f t="shared" si="56"/>
        <v>0</v>
      </c>
      <c r="O123" s="81">
        <f t="shared" si="39"/>
        <v>0</v>
      </c>
      <c r="P123" s="81">
        <f t="shared" si="57"/>
        <v>0</v>
      </c>
      <c r="Q123" s="81">
        <f t="shared" si="40"/>
        <v>0</v>
      </c>
      <c r="R123" s="81">
        <f t="shared" si="58"/>
        <v>0</v>
      </c>
      <c r="S123" s="81">
        <f t="shared" si="41"/>
        <v>0</v>
      </c>
      <c r="T123" s="81">
        <f t="shared" si="59"/>
        <v>0</v>
      </c>
      <c r="U123" s="81">
        <f t="shared" si="42"/>
        <v>0</v>
      </c>
      <c r="V123" s="81">
        <f t="shared" si="60"/>
        <v>0</v>
      </c>
      <c r="W123" s="81">
        <f t="shared" si="43"/>
        <v>0</v>
      </c>
      <c r="X123" s="81">
        <f t="shared" si="61"/>
        <v>0</v>
      </c>
      <c r="Y123" s="81">
        <f t="shared" si="44"/>
        <v>0</v>
      </c>
      <c r="Z123" s="81">
        <f t="shared" si="65"/>
        <v>0</v>
      </c>
      <c r="AA123" s="81">
        <f t="shared" si="45"/>
        <v>0</v>
      </c>
      <c r="AB123" s="81">
        <f t="shared" si="64"/>
        <v>0</v>
      </c>
      <c r="AC123" s="81">
        <f t="shared" si="46"/>
        <v>0</v>
      </c>
      <c r="AD123" s="81">
        <f t="shared" si="62"/>
        <v>0</v>
      </c>
      <c r="AE123" s="81">
        <f t="shared" si="47"/>
        <v>0</v>
      </c>
      <c r="AF123" s="81">
        <f t="shared" si="63"/>
        <v>0</v>
      </c>
      <c r="AG123" s="81">
        <f t="shared" si="48"/>
        <v>0</v>
      </c>
    </row>
    <row r="124" spans="1:33" ht="15.5" x14ac:dyDescent="0.35">
      <c r="A124" s="57">
        <v>112</v>
      </c>
      <c r="B124" s="80">
        <f t="shared" si="49"/>
        <v>0</v>
      </c>
      <c r="C124" s="81">
        <f t="shared" si="50"/>
        <v>0</v>
      </c>
      <c r="D124" s="81">
        <f t="shared" si="51"/>
        <v>0</v>
      </c>
      <c r="E124" s="81">
        <f t="shared" si="34"/>
        <v>0</v>
      </c>
      <c r="F124" s="81">
        <f t="shared" si="52"/>
        <v>0</v>
      </c>
      <c r="G124" s="81">
        <f t="shared" si="35"/>
        <v>0</v>
      </c>
      <c r="H124" s="81">
        <f t="shared" si="53"/>
        <v>0</v>
      </c>
      <c r="I124" s="81">
        <f t="shared" si="36"/>
        <v>0</v>
      </c>
      <c r="J124" s="81">
        <f t="shared" si="54"/>
        <v>0</v>
      </c>
      <c r="K124" s="81">
        <f t="shared" si="37"/>
        <v>0</v>
      </c>
      <c r="L124" s="81">
        <f t="shared" si="55"/>
        <v>0</v>
      </c>
      <c r="M124" s="81">
        <f t="shared" si="38"/>
        <v>0</v>
      </c>
      <c r="N124" s="81">
        <f t="shared" si="56"/>
        <v>0</v>
      </c>
      <c r="O124" s="81">
        <f t="shared" si="39"/>
        <v>0</v>
      </c>
      <c r="P124" s="81">
        <f t="shared" si="57"/>
        <v>0</v>
      </c>
      <c r="Q124" s="81">
        <f t="shared" si="40"/>
        <v>0</v>
      </c>
      <c r="R124" s="81">
        <f t="shared" si="58"/>
        <v>0</v>
      </c>
      <c r="S124" s="81">
        <f t="shared" si="41"/>
        <v>0</v>
      </c>
      <c r="T124" s="81">
        <f t="shared" si="59"/>
        <v>0</v>
      </c>
      <c r="U124" s="81">
        <f t="shared" si="42"/>
        <v>0</v>
      </c>
      <c r="V124" s="81">
        <f t="shared" si="60"/>
        <v>0</v>
      </c>
      <c r="W124" s="81">
        <f t="shared" si="43"/>
        <v>0</v>
      </c>
      <c r="X124" s="81">
        <f t="shared" si="61"/>
        <v>0</v>
      </c>
      <c r="Y124" s="81">
        <f t="shared" si="44"/>
        <v>0</v>
      </c>
      <c r="Z124" s="81">
        <f t="shared" si="65"/>
        <v>0</v>
      </c>
      <c r="AA124" s="81">
        <f t="shared" si="45"/>
        <v>0</v>
      </c>
      <c r="AB124" s="81">
        <f t="shared" si="64"/>
        <v>0</v>
      </c>
      <c r="AC124" s="81">
        <f t="shared" si="46"/>
        <v>0</v>
      </c>
      <c r="AD124" s="81">
        <f t="shared" si="62"/>
        <v>0</v>
      </c>
      <c r="AE124" s="81">
        <f t="shared" si="47"/>
        <v>0</v>
      </c>
      <c r="AF124" s="81">
        <f t="shared" si="63"/>
        <v>0</v>
      </c>
      <c r="AG124" s="81">
        <f t="shared" si="48"/>
        <v>0</v>
      </c>
    </row>
    <row r="125" spans="1:33" ht="15.5" x14ac:dyDescent="0.35">
      <c r="A125" s="57">
        <v>113</v>
      </c>
      <c r="B125" s="80">
        <f t="shared" si="49"/>
        <v>0</v>
      </c>
      <c r="C125" s="81">
        <f t="shared" si="50"/>
        <v>0</v>
      </c>
      <c r="D125" s="81">
        <f t="shared" si="51"/>
        <v>0</v>
      </c>
      <c r="E125" s="81">
        <f t="shared" si="34"/>
        <v>0</v>
      </c>
      <c r="F125" s="81">
        <f t="shared" si="52"/>
        <v>0</v>
      </c>
      <c r="G125" s="81">
        <f t="shared" si="35"/>
        <v>0</v>
      </c>
      <c r="H125" s="81">
        <f t="shared" si="53"/>
        <v>0</v>
      </c>
      <c r="I125" s="81">
        <f t="shared" si="36"/>
        <v>0</v>
      </c>
      <c r="J125" s="81">
        <f t="shared" si="54"/>
        <v>0</v>
      </c>
      <c r="K125" s="81">
        <f t="shared" si="37"/>
        <v>0</v>
      </c>
      <c r="L125" s="81">
        <f t="shared" si="55"/>
        <v>0</v>
      </c>
      <c r="M125" s="81">
        <f t="shared" si="38"/>
        <v>0</v>
      </c>
      <c r="N125" s="81">
        <f t="shared" si="56"/>
        <v>0</v>
      </c>
      <c r="O125" s="81">
        <f t="shared" si="39"/>
        <v>0</v>
      </c>
      <c r="P125" s="81">
        <f t="shared" si="57"/>
        <v>0</v>
      </c>
      <c r="Q125" s="81">
        <f t="shared" si="40"/>
        <v>0</v>
      </c>
      <c r="R125" s="81">
        <f t="shared" si="58"/>
        <v>0</v>
      </c>
      <c r="S125" s="81">
        <f t="shared" si="41"/>
        <v>0</v>
      </c>
      <c r="T125" s="81">
        <f t="shared" si="59"/>
        <v>0</v>
      </c>
      <c r="U125" s="81">
        <f t="shared" si="42"/>
        <v>0</v>
      </c>
      <c r="V125" s="81">
        <f t="shared" si="60"/>
        <v>0</v>
      </c>
      <c r="W125" s="81">
        <f t="shared" si="43"/>
        <v>0</v>
      </c>
      <c r="X125" s="81">
        <f t="shared" si="61"/>
        <v>0</v>
      </c>
      <c r="Y125" s="81">
        <f t="shared" si="44"/>
        <v>0</v>
      </c>
      <c r="Z125" s="81">
        <f t="shared" si="65"/>
        <v>0</v>
      </c>
      <c r="AA125" s="81">
        <f t="shared" si="45"/>
        <v>0</v>
      </c>
      <c r="AB125" s="81">
        <f t="shared" si="64"/>
        <v>0</v>
      </c>
      <c r="AC125" s="81">
        <f t="shared" si="46"/>
        <v>0</v>
      </c>
      <c r="AD125" s="81">
        <f t="shared" si="62"/>
        <v>0</v>
      </c>
      <c r="AE125" s="81">
        <f t="shared" si="47"/>
        <v>0</v>
      </c>
      <c r="AF125" s="81">
        <f t="shared" si="63"/>
        <v>0</v>
      </c>
      <c r="AG125" s="81">
        <f t="shared" si="48"/>
        <v>0</v>
      </c>
    </row>
    <row r="126" spans="1:33" ht="15.5" x14ac:dyDescent="0.35">
      <c r="A126" s="57">
        <v>114</v>
      </c>
      <c r="B126" s="80">
        <f t="shared" si="49"/>
        <v>0</v>
      </c>
      <c r="C126" s="81">
        <f t="shared" si="50"/>
        <v>0</v>
      </c>
      <c r="D126" s="81">
        <f t="shared" si="51"/>
        <v>0</v>
      </c>
      <c r="E126" s="81">
        <f t="shared" si="34"/>
        <v>0</v>
      </c>
      <c r="F126" s="81">
        <f t="shared" si="52"/>
        <v>0</v>
      </c>
      <c r="G126" s="81">
        <f t="shared" si="35"/>
        <v>0</v>
      </c>
      <c r="H126" s="81">
        <f t="shared" si="53"/>
        <v>0</v>
      </c>
      <c r="I126" s="81">
        <f t="shared" si="36"/>
        <v>0</v>
      </c>
      <c r="J126" s="81">
        <f t="shared" si="54"/>
        <v>0</v>
      </c>
      <c r="K126" s="81">
        <f t="shared" si="37"/>
        <v>0</v>
      </c>
      <c r="L126" s="81">
        <f t="shared" si="55"/>
        <v>0</v>
      </c>
      <c r="M126" s="81">
        <f t="shared" si="38"/>
        <v>0</v>
      </c>
      <c r="N126" s="81">
        <f t="shared" si="56"/>
        <v>0</v>
      </c>
      <c r="O126" s="81">
        <f t="shared" si="39"/>
        <v>0</v>
      </c>
      <c r="P126" s="81">
        <f t="shared" si="57"/>
        <v>0</v>
      </c>
      <c r="Q126" s="81">
        <f t="shared" si="40"/>
        <v>0</v>
      </c>
      <c r="R126" s="81">
        <f t="shared" si="58"/>
        <v>0</v>
      </c>
      <c r="S126" s="81">
        <f t="shared" si="41"/>
        <v>0</v>
      </c>
      <c r="T126" s="81">
        <f t="shared" si="59"/>
        <v>0</v>
      </c>
      <c r="U126" s="81">
        <f t="shared" si="42"/>
        <v>0</v>
      </c>
      <c r="V126" s="81">
        <f t="shared" si="60"/>
        <v>0</v>
      </c>
      <c r="W126" s="81">
        <f t="shared" si="43"/>
        <v>0</v>
      </c>
      <c r="X126" s="81">
        <f t="shared" si="61"/>
        <v>0</v>
      </c>
      <c r="Y126" s="81">
        <f t="shared" si="44"/>
        <v>0</v>
      </c>
      <c r="Z126" s="81">
        <f t="shared" si="65"/>
        <v>0</v>
      </c>
      <c r="AA126" s="81">
        <f t="shared" si="45"/>
        <v>0</v>
      </c>
      <c r="AB126" s="81">
        <f t="shared" si="64"/>
        <v>0</v>
      </c>
      <c r="AC126" s="81">
        <f t="shared" si="46"/>
        <v>0</v>
      </c>
      <c r="AD126" s="81">
        <f t="shared" si="62"/>
        <v>0</v>
      </c>
      <c r="AE126" s="81">
        <f t="shared" si="47"/>
        <v>0</v>
      </c>
      <c r="AF126" s="81">
        <f t="shared" si="63"/>
        <v>0</v>
      </c>
      <c r="AG126" s="81">
        <f t="shared" si="48"/>
        <v>0</v>
      </c>
    </row>
    <row r="127" spans="1:33" ht="15.5" x14ac:dyDescent="0.35">
      <c r="A127" s="57">
        <v>115</v>
      </c>
      <c r="B127" s="80">
        <f t="shared" si="49"/>
        <v>0</v>
      </c>
      <c r="C127" s="81">
        <f t="shared" si="50"/>
        <v>0</v>
      </c>
      <c r="D127" s="81">
        <f t="shared" si="51"/>
        <v>0</v>
      </c>
      <c r="E127" s="81">
        <f t="shared" si="34"/>
        <v>0</v>
      </c>
      <c r="F127" s="81">
        <f t="shared" si="52"/>
        <v>0</v>
      </c>
      <c r="G127" s="81">
        <f t="shared" si="35"/>
        <v>0</v>
      </c>
      <c r="H127" s="81">
        <f t="shared" si="53"/>
        <v>0</v>
      </c>
      <c r="I127" s="81">
        <f t="shared" si="36"/>
        <v>0</v>
      </c>
      <c r="J127" s="81">
        <f t="shared" si="54"/>
        <v>0</v>
      </c>
      <c r="K127" s="81">
        <f t="shared" si="37"/>
        <v>0</v>
      </c>
      <c r="L127" s="81">
        <f t="shared" si="55"/>
        <v>0</v>
      </c>
      <c r="M127" s="81">
        <f t="shared" si="38"/>
        <v>0</v>
      </c>
      <c r="N127" s="81">
        <f t="shared" si="56"/>
        <v>0</v>
      </c>
      <c r="O127" s="81">
        <f t="shared" si="39"/>
        <v>0</v>
      </c>
      <c r="P127" s="81">
        <f t="shared" si="57"/>
        <v>0</v>
      </c>
      <c r="Q127" s="81">
        <f t="shared" si="40"/>
        <v>0</v>
      </c>
      <c r="R127" s="81">
        <f t="shared" si="58"/>
        <v>0</v>
      </c>
      <c r="S127" s="81">
        <f t="shared" si="41"/>
        <v>0</v>
      </c>
      <c r="T127" s="81">
        <f t="shared" si="59"/>
        <v>0</v>
      </c>
      <c r="U127" s="81">
        <f t="shared" si="42"/>
        <v>0</v>
      </c>
      <c r="V127" s="81">
        <f t="shared" si="60"/>
        <v>0</v>
      </c>
      <c r="W127" s="81">
        <f t="shared" si="43"/>
        <v>0</v>
      </c>
      <c r="X127" s="81">
        <f t="shared" si="61"/>
        <v>0</v>
      </c>
      <c r="Y127" s="81">
        <f t="shared" si="44"/>
        <v>0</v>
      </c>
      <c r="Z127" s="81">
        <f t="shared" si="65"/>
        <v>0</v>
      </c>
      <c r="AA127" s="81">
        <f t="shared" si="45"/>
        <v>0</v>
      </c>
      <c r="AB127" s="81">
        <f t="shared" si="64"/>
        <v>0</v>
      </c>
      <c r="AC127" s="81">
        <f t="shared" si="46"/>
        <v>0</v>
      </c>
      <c r="AD127" s="81">
        <f t="shared" si="62"/>
        <v>0</v>
      </c>
      <c r="AE127" s="81">
        <f t="shared" si="47"/>
        <v>0</v>
      </c>
      <c r="AF127" s="81">
        <f t="shared" si="63"/>
        <v>0</v>
      </c>
      <c r="AG127" s="81">
        <f t="shared" si="48"/>
        <v>0</v>
      </c>
    </row>
    <row r="128" spans="1:33" ht="15.5" x14ac:dyDescent="0.35">
      <c r="A128" s="57">
        <v>116</v>
      </c>
      <c r="B128" s="80">
        <f t="shared" si="49"/>
        <v>0</v>
      </c>
      <c r="C128" s="81">
        <f t="shared" si="50"/>
        <v>0</v>
      </c>
      <c r="D128" s="81">
        <f t="shared" si="51"/>
        <v>0</v>
      </c>
      <c r="E128" s="81">
        <f t="shared" si="34"/>
        <v>0</v>
      </c>
      <c r="F128" s="81">
        <f t="shared" si="52"/>
        <v>0</v>
      </c>
      <c r="G128" s="81">
        <f t="shared" si="35"/>
        <v>0</v>
      </c>
      <c r="H128" s="81">
        <f t="shared" si="53"/>
        <v>0</v>
      </c>
      <c r="I128" s="81">
        <f t="shared" si="36"/>
        <v>0</v>
      </c>
      <c r="J128" s="81">
        <f t="shared" si="54"/>
        <v>0</v>
      </c>
      <c r="K128" s="81">
        <f t="shared" si="37"/>
        <v>0</v>
      </c>
      <c r="L128" s="81">
        <f t="shared" si="55"/>
        <v>0</v>
      </c>
      <c r="M128" s="81">
        <f t="shared" si="38"/>
        <v>0</v>
      </c>
      <c r="N128" s="81">
        <f t="shared" si="56"/>
        <v>0</v>
      </c>
      <c r="O128" s="81">
        <f t="shared" si="39"/>
        <v>0</v>
      </c>
      <c r="P128" s="81">
        <f t="shared" si="57"/>
        <v>0</v>
      </c>
      <c r="Q128" s="81">
        <f t="shared" si="40"/>
        <v>0</v>
      </c>
      <c r="R128" s="81">
        <f t="shared" si="58"/>
        <v>0</v>
      </c>
      <c r="S128" s="81">
        <f t="shared" si="41"/>
        <v>0</v>
      </c>
      <c r="T128" s="81">
        <f t="shared" si="59"/>
        <v>0</v>
      </c>
      <c r="U128" s="81">
        <f t="shared" si="42"/>
        <v>0</v>
      </c>
      <c r="V128" s="81">
        <f t="shared" si="60"/>
        <v>0</v>
      </c>
      <c r="W128" s="81">
        <f t="shared" si="43"/>
        <v>0</v>
      </c>
      <c r="X128" s="81">
        <f t="shared" si="61"/>
        <v>0</v>
      </c>
      <c r="Y128" s="81">
        <f t="shared" si="44"/>
        <v>0</v>
      </c>
      <c r="Z128" s="81">
        <f t="shared" si="65"/>
        <v>0</v>
      </c>
      <c r="AA128" s="81">
        <f t="shared" si="45"/>
        <v>0</v>
      </c>
      <c r="AB128" s="81">
        <f t="shared" si="64"/>
        <v>0</v>
      </c>
      <c r="AC128" s="81">
        <f t="shared" si="46"/>
        <v>0</v>
      </c>
      <c r="AD128" s="81">
        <f t="shared" si="62"/>
        <v>0</v>
      </c>
      <c r="AE128" s="81">
        <f t="shared" si="47"/>
        <v>0</v>
      </c>
      <c r="AF128" s="81">
        <f t="shared" si="63"/>
        <v>0</v>
      </c>
      <c r="AG128" s="81">
        <f t="shared" si="48"/>
        <v>0</v>
      </c>
    </row>
    <row r="129" spans="1:33" ht="15.5" x14ac:dyDescent="0.35">
      <c r="A129" s="57">
        <v>117</v>
      </c>
      <c r="B129" s="80">
        <f t="shared" si="49"/>
        <v>0</v>
      </c>
      <c r="C129" s="81">
        <f t="shared" si="50"/>
        <v>0</v>
      </c>
      <c r="D129" s="81">
        <f t="shared" si="51"/>
        <v>0</v>
      </c>
      <c r="E129" s="81">
        <f t="shared" si="34"/>
        <v>0</v>
      </c>
      <c r="F129" s="81">
        <f t="shared" si="52"/>
        <v>0</v>
      </c>
      <c r="G129" s="81">
        <f t="shared" si="35"/>
        <v>0</v>
      </c>
      <c r="H129" s="81">
        <f t="shared" si="53"/>
        <v>0</v>
      </c>
      <c r="I129" s="81">
        <f t="shared" si="36"/>
        <v>0</v>
      </c>
      <c r="J129" s="81">
        <f t="shared" si="54"/>
        <v>0</v>
      </c>
      <c r="K129" s="81">
        <f t="shared" si="37"/>
        <v>0</v>
      </c>
      <c r="L129" s="81">
        <f t="shared" si="55"/>
        <v>0</v>
      </c>
      <c r="M129" s="81">
        <f t="shared" si="38"/>
        <v>0</v>
      </c>
      <c r="N129" s="81">
        <f t="shared" si="56"/>
        <v>0</v>
      </c>
      <c r="O129" s="81">
        <f t="shared" si="39"/>
        <v>0</v>
      </c>
      <c r="P129" s="81">
        <f t="shared" si="57"/>
        <v>0</v>
      </c>
      <c r="Q129" s="81">
        <f t="shared" si="40"/>
        <v>0</v>
      </c>
      <c r="R129" s="81">
        <f t="shared" si="58"/>
        <v>0</v>
      </c>
      <c r="S129" s="81">
        <f t="shared" si="41"/>
        <v>0</v>
      </c>
      <c r="T129" s="81">
        <f t="shared" si="59"/>
        <v>0</v>
      </c>
      <c r="U129" s="81">
        <f t="shared" si="42"/>
        <v>0</v>
      </c>
      <c r="V129" s="81">
        <f t="shared" si="60"/>
        <v>0</v>
      </c>
      <c r="W129" s="81">
        <f t="shared" si="43"/>
        <v>0</v>
      </c>
      <c r="X129" s="81">
        <f t="shared" si="61"/>
        <v>0</v>
      </c>
      <c r="Y129" s="81">
        <f t="shared" si="44"/>
        <v>0</v>
      </c>
      <c r="Z129" s="81">
        <f t="shared" si="65"/>
        <v>0</v>
      </c>
      <c r="AA129" s="81">
        <f t="shared" si="45"/>
        <v>0</v>
      </c>
      <c r="AB129" s="81">
        <f t="shared" si="64"/>
        <v>0</v>
      </c>
      <c r="AC129" s="81">
        <f t="shared" si="46"/>
        <v>0</v>
      </c>
      <c r="AD129" s="81">
        <f t="shared" si="62"/>
        <v>0</v>
      </c>
      <c r="AE129" s="81">
        <f t="shared" si="47"/>
        <v>0</v>
      </c>
      <c r="AF129" s="81">
        <f t="shared" si="63"/>
        <v>0</v>
      </c>
      <c r="AG129" s="81">
        <f t="shared" si="48"/>
        <v>0</v>
      </c>
    </row>
    <row r="130" spans="1:33" ht="15.5" x14ac:dyDescent="0.35">
      <c r="A130" s="57">
        <v>118</v>
      </c>
      <c r="B130" s="80">
        <f t="shared" si="49"/>
        <v>0</v>
      </c>
      <c r="C130" s="81">
        <f t="shared" si="50"/>
        <v>0</v>
      </c>
      <c r="D130" s="81">
        <f t="shared" si="51"/>
        <v>0</v>
      </c>
      <c r="E130" s="81">
        <f t="shared" si="34"/>
        <v>0</v>
      </c>
      <c r="F130" s="81">
        <f t="shared" si="52"/>
        <v>0</v>
      </c>
      <c r="G130" s="81">
        <f t="shared" si="35"/>
        <v>0</v>
      </c>
      <c r="H130" s="81">
        <f t="shared" si="53"/>
        <v>0</v>
      </c>
      <c r="I130" s="81">
        <f t="shared" si="36"/>
        <v>0</v>
      </c>
      <c r="J130" s="81">
        <f t="shared" si="54"/>
        <v>0</v>
      </c>
      <c r="K130" s="81">
        <f t="shared" si="37"/>
        <v>0</v>
      </c>
      <c r="L130" s="81">
        <f t="shared" si="55"/>
        <v>0</v>
      </c>
      <c r="M130" s="81">
        <f t="shared" si="38"/>
        <v>0</v>
      </c>
      <c r="N130" s="81">
        <f t="shared" si="56"/>
        <v>0</v>
      </c>
      <c r="O130" s="81">
        <f t="shared" si="39"/>
        <v>0</v>
      </c>
      <c r="P130" s="81">
        <f t="shared" si="57"/>
        <v>0</v>
      </c>
      <c r="Q130" s="81">
        <f t="shared" si="40"/>
        <v>0</v>
      </c>
      <c r="R130" s="81">
        <f t="shared" si="58"/>
        <v>0</v>
      </c>
      <c r="S130" s="81">
        <f t="shared" si="41"/>
        <v>0</v>
      </c>
      <c r="T130" s="81">
        <f t="shared" si="59"/>
        <v>0</v>
      </c>
      <c r="U130" s="81">
        <f t="shared" si="42"/>
        <v>0</v>
      </c>
      <c r="V130" s="81">
        <f t="shared" si="60"/>
        <v>0</v>
      </c>
      <c r="W130" s="81">
        <f t="shared" si="43"/>
        <v>0</v>
      </c>
      <c r="X130" s="81">
        <f t="shared" si="61"/>
        <v>0</v>
      </c>
      <c r="Y130" s="81">
        <f t="shared" si="44"/>
        <v>0</v>
      </c>
      <c r="Z130" s="81">
        <f t="shared" si="65"/>
        <v>0</v>
      </c>
      <c r="AA130" s="81">
        <f t="shared" si="45"/>
        <v>0</v>
      </c>
      <c r="AB130" s="81">
        <f t="shared" si="64"/>
        <v>0</v>
      </c>
      <c r="AC130" s="81">
        <f t="shared" si="46"/>
        <v>0</v>
      </c>
      <c r="AD130" s="81">
        <f t="shared" si="62"/>
        <v>0</v>
      </c>
      <c r="AE130" s="81">
        <f t="shared" si="47"/>
        <v>0</v>
      </c>
      <c r="AF130" s="81">
        <f t="shared" si="63"/>
        <v>0</v>
      </c>
      <c r="AG130" s="81">
        <f t="shared" si="48"/>
        <v>0</v>
      </c>
    </row>
    <row r="131" spans="1:33" ht="15.5" x14ac:dyDescent="0.35">
      <c r="A131" s="57">
        <v>119</v>
      </c>
      <c r="B131" s="80">
        <f t="shared" si="49"/>
        <v>0</v>
      </c>
      <c r="C131" s="81">
        <f t="shared" si="50"/>
        <v>0</v>
      </c>
      <c r="D131" s="81">
        <f t="shared" si="51"/>
        <v>0</v>
      </c>
      <c r="E131" s="81">
        <f t="shared" si="34"/>
        <v>0</v>
      </c>
      <c r="F131" s="81">
        <f t="shared" si="52"/>
        <v>0</v>
      </c>
      <c r="G131" s="81">
        <f t="shared" si="35"/>
        <v>0</v>
      </c>
      <c r="H131" s="81">
        <f t="shared" si="53"/>
        <v>0</v>
      </c>
      <c r="I131" s="81">
        <f t="shared" si="36"/>
        <v>0</v>
      </c>
      <c r="J131" s="81">
        <f t="shared" si="54"/>
        <v>0</v>
      </c>
      <c r="K131" s="81">
        <f t="shared" si="37"/>
        <v>0</v>
      </c>
      <c r="L131" s="81">
        <f t="shared" si="55"/>
        <v>0</v>
      </c>
      <c r="M131" s="81">
        <f t="shared" si="38"/>
        <v>0</v>
      </c>
      <c r="N131" s="81">
        <f t="shared" si="56"/>
        <v>0</v>
      </c>
      <c r="O131" s="81">
        <f t="shared" si="39"/>
        <v>0</v>
      </c>
      <c r="P131" s="81">
        <f t="shared" si="57"/>
        <v>0</v>
      </c>
      <c r="Q131" s="81">
        <f t="shared" si="40"/>
        <v>0</v>
      </c>
      <c r="R131" s="81">
        <f t="shared" si="58"/>
        <v>0</v>
      </c>
      <c r="S131" s="81">
        <f t="shared" si="41"/>
        <v>0</v>
      </c>
      <c r="T131" s="81">
        <f t="shared" si="59"/>
        <v>0</v>
      </c>
      <c r="U131" s="81">
        <f t="shared" si="42"/>
        <v>0</v>
      </c>
      <c r="V131" s="81">
        <f t="shared" si="60"/>
        <v>0</v>
      </c>
      <c r="W131" s="81">
        <f t="shared" si="43"/>
        <v>0</v>
      </c>
      <c r="X131" s="81">
        <f t="shared" si="61"/>
        <v>0</v>
      </c>
      <c r="Y131" s="81">
        <f t="shared" si="44"/>
        <v>0</v>
      </c>
      <c r="Z131" s="81">
        <f t="shared" si="65"/>
        <v>0</v>
      </c>
      <c r="AA131" s="81">
        <f t="shared" si="45"/>
        <v>0</v>
      </c>
      <c r="AB131" s="81">
        <f t="shared" si="64"/>
        <v>0</v>
      </c>
      <c r="AC131" s="81">
        <f t="shared" si="46"/>
        <v>0</v>
      </c>
      <c r="AD131" s="81">
        <f t="shared" si="62"/>
        <v>0</v>
      </c>
      <c r="AE131" s="81">
        <f t="shared" si="47"/>
        <v>0</v>
      </c>
      <c r="AF131" s="81">
        <f t="shared" si="63"/>
        <v>0</v>
      </c>
      <c r="AG131" s="81">
        <f t="shared" si="48"/>
        <v>0</v>
      </c>
    </row>
    <row r="132" spans="1:33" ht="15.5" x14ac:dyDescent="0.35">
      <c r="A132" s="57">
        <v>120</v>
      </c>
      <c r="B132" s="80">
        <f t="shared" si="49"/>
        <v>0</v>
      </c>
      <c r="C132" s="81">
        <f t="shared" si="50"/>
        <v>0</v>
      </c>
      <c r="D132" s="81">
        <f t="shared" si="51"/>
        <v>0</v>
      </c>
      <c r="E132" s="81">
        <f t="shared" si="34"/>
        <v>0</v>
      </c>
      <c r="F132" s="81">
        <f t="shared" si="52"/>
        <v>0</v>
      </c>
      <c r="G132" s="81">
        <f t="shared" si="35"/>
        <v>0</v>
      </c>
      <c r="H132" s="81">
        <f t="shared" si="53"/>
        <v>0</v>
      </c>
      <c r="I132" s="81">
        <f t="shared" si="36"/>
        <v>0</v>
      </c>
      <c r="J132" s="81">
        <f t="shared" si="54"/>
        <v>0</v>
      </c>
      <c r="K132" s="81">
        <f t="shared" si="37"/>
        <v>0</v>
      </c>
      <c r="L132" s="81">
        <f t="shared" si="55"/>
        <v>0</v>
      </c>
      <c r="M132" s="81">
        <f t="shared" si="38"/>
        <v>0</v>
      </c>
      <c r="N132" s="81">
        <f t="shared" si="56"/>
        <v>0</v>
      </c>
      <c r="O132" s="81">
        <f t="shared" si="39"/>
        <v>0</v>
      </c>
      <c r="P132" s="81">
        <f t="shared" si="57"/>
        <v>0</v>
      </c>
      <c r="Q132" s="81">
        <f t="shared" si="40"/>
        <v>0</v>
      </c>
      <c r="R132" s="81">
        <f t="shared" si="58"/>
        <v>0</v>
      </c>
      <c r="S132" s="81">
        <f t="shared" si="41"/>
        <v>0</v>
      </c>
      <c r="T132" s="81">
        <f t="shared" si="59"/>
        <v>0</v>
      </c>
      <c r="U132" s="81">
        <f t="shared" si="42"/>
        <v>0</v>
      </c>
      <c r="V132" s="81">
        <f t="shared" si="60"/>
        <v>0</v>
      </c>
      <c r="W132" s="81">
        <f t="shared" si="43"/>
        <v>0</v>
      </c>
      <c r="X132" s="81">
        <f t="shared" si="61"/>
        <v>0</v>
      </c>
      <c r="Y132" s="81">
        <f t="shared" si="44"/>
        <v>0</v>
      </c>
      <c r="Z132" s="81">
        <f t="shared" si="65"/>
        <v>0</v>
      </c>
      <c r="AA132" s="81">
        <f t="shared" si="45"/>
        <v>0</v>
      </c>
      <c r="AB132" s="81">
        <f t="shared" si="64"/>
        <v>0</v>
      </c>
      <c r="AC132" s="81">
        <f t="shared" si="46"/>
        <v>0</v>
      </c>
      <c r="AD132" s="81">
        <f t="shared" si="62"/>
        <v>0</v>
      </c>
      <c r="AE132" s="81">
        <f t="shared" si="47"/>
        <v>0</v>
      </c>
      <c r="AF132" s="81">
        <f t="shared" si="63"/>
        <v>0</v>
      </c>
      <c r="AG132" s="81">
        <f t="shared" si="48"/>
        <v>0</v>
      </c>
    </row>
    <row r="134" spans="1:33" x14ac:dyDescent="0.35">
      <c r="B134" s="102">
        <f>SUM(B13:B133)</f>
        <v>154641.55893252802</v>
      </c>
      <c r="D134" s="102">
        <f>SUM(D13:D133)</f>
        <v>1471253.3915259517</v>
      </c>
      <c r="F134" s="102">
        <f>SUM(F13:F133)</f>
        <v>1086934.6566390796</v>
      </c>
      <c r="H134" s="102">
        <f>SUM(H13:H133)</f>
        <v>0</v>
      </c>
      <c r="J134" s="102">
        <f>SUM(J13:J133)</f>
        <v>0</v>
      </c>
      <c r="L134" s="102">
        <f>SUM(L13:L133)</f>
        <v>0</v>
      </c>
      <c r="N134" s="102">
        <f>SUM(N13:N133)</f>
        <v>0</v>
      </c>
      <c r="P134" s="102">
        <f>SUM(P13:P133)</f>
        <v>0</v>
      </c>
    </row>
    <row r="135" spans="1:33" x14ac:dyDescent="0.35">
      <c r="AG135" s="102">
        <f>SUM(B134:AG134)</f>
        <v>2712829.6070975591</v>
      </c>
    </row>
  </sheetData>
  <mergeCells count="1">
    <mergeCell ref="B2:D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9078-2F23-4323-90A0-B9967DBCE466}">
  <dimension ref="B2:E13"/>
  <sheetViews>
    <sheetView workbookViewId="0">
      <selection activeCell="I8" sqref="I8"/>
    </sheetView>
  </sheetViews>
  <sheetFormatPr defaultRowHeight="14.5" x14ac:dyDescent="0.35"/>
  <cols>
    <col min="2" max="2" width="28.453125" customWidth="1"/>
    <col min="3" max="3" width="13.6328125" customWidth="1"/>
    <col min="4" max="4" width="31.1796875" customWidth="1"/>
    <col min="5" max="5" width="15.81640625" customWidth="1"/>
  </cols>
  <sheetData>
    <row r="2" spans="2:5" x14ac:dyDescent="0.35">
      <c r="B2" s="104" t="s">
        <v>13</v>
      </c>
      <c r="C2" s="104"/>
      <c r="D2" s="105" t="s">
        <v>14</v>
      </c>
      <c r="E2" s="105"/>
    </row>
    <row r="3" spans="2:5" x14ac:dyDescent="0.35">
      <c r="B3" s="7"/>
      <c r="C3" s="8"/>
      <c r="D3" s="9"/>
      <c r="E3" s="10"/>
    </row>
    <row r="4" spans="2:5" x14ac:dyDescent="0.35">
      <c r="B4" s="7"/>
      <c r="C4" s="8"/>
      <c r="D4" s="9"/>
      <c r="E4" s="10"/>
    </row>
    <row r="5" spans="2:5" x14ac:dyDescent="0.35">
      <c r="B5" s="7"/>
      <c r="C5" s="8"/>
      <c r="D5" s="9"/>
      <c r="E5" s="10"/>
    </row>
    <row r="6" spans="2:5" x14ac:dyDescent="0.35">
      <c r="B6" s="7"/>
      <c r="C6" s="8"/>
      <c r="D6" s="9"/>
      <c r="E6" s="10"/>
    </row>
    <row r="7" spans="2:5" x14ac:dyDescent="0.35">
      <c r="B7" s="7"/>
      <c r="C7" s="8"/>
      <c r="D7" s="9"/>
      <c r="E7" s="10"/>
    </row>
    <row r="8" spans="2:5" x14ac:dyDescent="0.35">
      <c r="B8" s="7"/>
      <c r="C8" s="8"/>
      <c r="D8" s="9"/>
      <c r="E8" s="10"/>
    </row>
    <row r="9" spans="2:5" x14ac:dyDescent="0.35">
      <c r="B9" s="7"/>
      <c r="C9" s="8"/>
      <c r="D9" s="9" t="s">
        <v>15</v>
      </c>
      <c r="E9" s="10">
        <f>SUM(E3:E8)</f>
        <v>0</v>
      </c>
    </row>
    <row r="10" spans="2:5" x14ac:dyDescent="0.35">
      <c r="B10" s="7"/>
      <c r="C10" s="8"/>
      <c r="D10" s="106" t="s">
        <v>16</v>
      </c>
      <c r="E10" s="107"/>
    </row>
    <row r="11" spans="2:5" x14ac:dyDescent="0.35">
      <c r="B11" s="7"/>
      <c r="C11" s="8"/>
      <c r="D11" s="108" t="s">
        <v>16</v>
      </c>
      <c r="E11" s="110">
        <f>C13-E9</f>
        <v>0</v>
      </c>
    </row>
    <row r="12" spans="2:5" ht="16.5" customHeight="1" x14ac:dyDescent="0.35">
      <c r="B12" s="7"/>
      <c r="C12" s="8"/>
      <c r="D12" s="109"/>
      <c r="E12" s="111"/>
    </row>
    <row r="13" spans="2:5" x14ac:dyDescent="0.35">
      <c r="B13" s="11" t="s">
        <v>8</v>
      </c>
      <c r="C13" s="12">
        <f>SUM(C3:C12)</f>
        <v>0</v>
      </c>
      <c r="D13" s="13" t="s">
        <v>8</v>
      </c>
      <c r="E13" s="14">
        <f>E11+E9</f>
        <v>0</v>
      </c>
    </row>
  </sheetData>
  <mergeCells count="5">
    <mergeCell ref="B2:C2"/>
    <mergeCell ref="D2:E2"/>
    <mergeCell ref="D10:E10"/>
    <mergeCell ref="D11:D12"/>
    <mergeCell ref="E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DB46-7909-4420-9AF6-1509EB3BB339}">
  <dimension ref="B1:K21"/>
  <sheetViews>
    <sheetView zoomScale="80" zoomScaleNormal="80" workbookViewId="0">
      <selection activeCell="B2" sqref="B2:F11"/>
    </sheetView>
  </sheetViews>
  <sheetFormatPr defaultColWidth="14.453125" defaultRowHeight="15.75" customHeight="1" x14ac:dyDescent="0.25"/>
  <cols>
    <col min="1" max="1" width="3.36328125" style="15" customWidth="1"/>
    <col min="2" max="2" width="17" style="15" bestFit="1" customWidth="1"/>
    <col min="3" max="3" width="12.1796875" style="15" customWidth="1"/>
    <col min="4" max="4" width="8" style="15" customWidth="1"/>
    <col min="5" max="5" width="10.81640625" style="15" customWidth="1"/>
    <col min="6" max="6" width="10.90625" style="15" customWidth="1"/>
    <col min="7" max="7" width="14.90625" style="15" hidden="1" customWidth="1"/>
    <col min="8" max="8" width="0" style="15" hidden="1" customWidth="1"/>
    <col min="9" max="9" width="9.36328125" style="15" hidden="1" customWidth="1"/>
    <col min="10" max="10" width="14" style="15" hidden="1" customWidth="1"/>
    <col min="11" max="11" width="27.08984375" style="15" customWidth="1"/>
    <col min="12" max="16384" width="14.453125" style="15"/>
  </cols>
  <sheetData>
    <row r="1" spans="2:11" ht="13" customHeight="1" thickBot="1" x14ac:dyDescent="0.3"/>
    <row r="2" spans="2:11" ht="23" customHeight="1" x14ac:dyDescent="0.25">
      <c r="B2" s="112" t="s">
        <v>17</v>
      </c>
      <c r="C2" s="113"/>
      <c r="D2" s="113"/>
      <c r="E2" s="113"/>
      <c r="F2" s="113"/>
      <c r="G2" s="113" t="s">
        <v>18</v>
      </c>
      <c r="H2" s="113"/>
      <c r="I2" s="113"/>
      <c r="J2" s="114"/>
    </row>
    <row r="3" spans="2:11" ht="35.5" customHeight="1" thickBot="1" x14ac:dyDescent="0.3">
      <c r="B3" s="16" t="s">
        <v>0</v>
      </c>
      <c r="C3" s="17" t="s">
        <v>1</v>
      </c>
      <c r="D3" s="18" t="s">
        <v>19</v>
      </c>
      <c r="E3" s="18" t="s">
        <v>20</v>
      </c>
      <c r="F3" s="18" t="s">
        <v>21</v>
      </c>
      <c r="G3" s="17" t="s">
        <v>22</v>
      </c>
      <c r="H3" s="17" t="s">
        <v>23</v>
      </c>
      <c r="I3" s="19" t="s">
        <v>24</v>
      </c>
      <c r="J3" s="20" t="s">
        <v>25</v>
      </c>
    </row>
    <row r="4" spans="2:11" s="33" customFormat="1" ht="20.5" customHeight="1" x14ac:dyDescent="0.35">
      <c r="B4" s="28" t="s">
        <v>26</v>
      </c>
      <c r="C4" s="29">
        <v>2800000</v>
      </c>
      <c r="D4" s="30">
        <f t="shared" ref="D4:D11" si="0">C4/$C$11</f>
        <v>0.26800670016750416</v>
      </c>
      <c r="E4" s="21">
        <f>25500</f>
        <v>25500</v>
      </c>
      <c r="F4" s="22">
        <f>E4/C4*12</f>
        <v>0.10928571428571429</v>
      </c>
      <c r="G4" s="31"/>
      <c r="H4" s="32"/>
      <c r="I4" s="31"/>
      <c r="J4" s="31"/>
    </row>
    <row r="5" spans="2:11" s="33" customFormat="1" ht="20.5" customHeight="1" x14ac:dyDescent="0.35">
      <c r="B5" s="28" t="s">
        <v>26</v>
      </c>
      <c r="C5" s="29">
        <f>1800000-H5</f>
        <v>950000</v>
      </c>
      <c r="D5" s="30">
        <f t="shared" si="0"/>
        <v>9.0930844699688915E-2</v>
      </c>
      <c r="E5" s="21">
        <v>0</v>
      </c>
      <c r="F5" s="25">
        <v>0</v>
      </c>
      <c r="G5" s="28" t="s">
        <v>28</v>
      </c>
      <c r="H5" s="21">
        <v>850000</v>
      </c>
      <c r="I5" s="24">
        <v>0</v>
      </c>
      <c r="J5" s="24">
        <v>0</v>
      </c>
    </row>
    <row r="6" spans="2:11" s="33" customFormat="1" ht="20.5" customHeight="1" x14ac:dyDescent="0.35">
      <c r="B6" s="28" t="s">
        <v>29</v>
      </c>
      <c r="C6" s="29">
        <v>5200000</v>
      </c>
      <c r="D6" s="30">
        <f t="shared" si="0"/>
        <v>0.4977267288825078</v>
      </c>
      <c r="E6" s="21">
        <v>30000</v>
      </c>
      <c r="F6" s="22">
        <f>E6/C6*12</f>
        <v>6.9230769230769235E-2</v>
      </c>
      <c r="G6" s="31"/>
      <c r="H6" s="32"/>
      <c r="I6" s="31"/>
      <c r="J6" s="31"/>
    </row>
    <row r="7" spans="2:11" s="33" customFormat="1" ht="20.5" customHeight="1" x14ac:dyDescent="0.35">
      <c r="B7" s="28" t="s">
        <v>30</v>
      </c>
      <c r="C7" s="29">
        <v>900000</v>
      </c>
      <c r="D7" s="30">
        <f t="shared" si="0"/>
        <v>8.6145010768126348E-2</v>
      </c>
      <c r="E7" s="21">
        <v>5000</v>
      </c>
      <c r="F7" s="22">
        <f>E7/C7*12</f>
        <v>6.6666666666666666E-2</v>
      </c>
      <c r="G7" s="31"/>
      <c r="H7" s="32"/>
      <c r="I7" s="31"/>
      <c r="J7" s="31"/>
    </row>
    <row r="8" spans="2:11" s="33" customFormat="1" ht="20.5" customHeight="1" x14ac:dyDescent="0.35">
      <c r="B8" s="34" t="s">
        <v>31</v>
      </c>
      <c r="C8" s="29">
        <f>5500*65</f>
        <v>357500</v>
      </c>
      <c r="D8" s="30">
        <f t="shared" si="0"/>
        <v>3.4218712610672407E-2</v>
      </c>
      <c r="E8" s="21">
        <f>C8*F8/12</f>
        <v>893.75</v>
      </c>
      <c r="F8" s="25">
        <v>0.03</v>
      </c>
      <c r="G8" s="31"/>
      <c r="H8" s="32"/>
      <c r="I8" s="31"/>
      <c r="J8" s="31"/>
      <c r="K8" s="33" t="s">
        <v>32</v>
      </c>
    </row>
    <row r="9" spans="2:11" s="33" customFormat="1" ht="20.5" customHeight="1" x14ac:dyDescent="0.35">
      <c r="B9" s="28" t="s">
        <v>33</v>
      </c>
      <c r="C9" s="29">
        <v>200000</v>
      </c>
      <c r="D9" s="30">
        <f t="shared" si="0"/>
        <v>1.91433357262503E-2</v>
      </c>
      <c r="E9" s="21">
        <f>C9*F9/12</f>
        <v>1416.6666666666667</v>
      </c>
      <c r="F9" s="25">
        <v>8.5000000000000006E-2</v>
      </c>
      <c r="G9" s="31"/>
      <c r="H9" s="32"/>
      <c r="I9" s="31"/>
      <c r="J9" s="31"/>
    </row>
    <row r="10" spans="2:11" s="33" customFormat="1" ht="20.5" customHeight="1" x14ac:dyDescent="0.35">
      <c r="B10" s="28" t="s">
        <v>34</v>
      </c>
      <c r="C10" s="29">
        <v>40000</v>
      </c>
      <c r="D10" s="30">
        <f t="shared" si="0"/>
        <v>3.8286671452500598E-3</v>
      </c>
      <c r="E10" s="21"/>
      <c r="F10" s="23"/>
      <c r="G10" s="31"/>
      <c r="H10" s="32"/>
      <c r="I10" s="31"/>
      <c r="J10" s="31"/>
    </row>
    <row r="11" spans="2:11" s="33" customFormat="1" ht="20.5" customHeight="1" x14ac:dyDescent="0.35">
      <c r="B11" s="35" t="s">
        <v>8</v>
      </c>
      <c r="C11" s="32">
        <f>SUM(C4:C10)</f>
        <v>10447500</v>
      </c>
      <c r="D11" s="30">
        <f t="shared" si="0"/>
        <v>1</v>
      </c>
      <c r="E11" s="21">
        <f>SUM(E4:E10)</f>
        <v>62810.416666666664</v>
      </c>
      <c r="F11" s="26">
        <f>E11*12/C11</f>
        <v>7.2144053601340033E-2</v>
      </c>
      <c r="G11" s="31"/>
      <c r="H11" s="32">
        <f>SUM(H4:H10)</f>
        <v>850000</v>
      </c>
      <c r="I11" s="31"/>
      <c r="J11" s="31"/>
    </row>
    <row r="12" spans="2:11" ht="15.75" customHeight="1" x14ac:dyDescent="0.35">
      <c r="F12" s="27"/>
    </row>
    <row r="19" spans="7:7" ht="15.75" customHeight="1" x14ac:dyDescent="0.25">
      <c r="G19" s="15" t="s">
        <v>35</v>
      </c>
    </row>
    <row r="21" spans="7:7" ht="15.75" customHeight="1" x14ac:dyDescent="0.25">
      <c r="G21" s="15" t="s">
        <v>36</v>
      </c>
    </row>
  </sheetData>
  <mergeCells count="2">
    <mergeCell ref="B2:F2"/>
    <mergeCell ref="G2:J2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Обязательства (2)</vt:lpstr>
      <vt:lpstr>Обязательства</vt:lpstr>
      <vt:lpstr>Снежный ком</vt:lpstr>
      <vt:lpstr>Снежная лавина</vt:lpstr>
      <vt:lpstr>Баланс</vt:lpstr>
      <vt:lpstr>Пример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Макаров</dc:creator>
  <cp:lastModifiedBy>Анастасия Шарова</cp:lastModifiedBy>
  <dcterms:created xsi:type="dcterms:W3CDTF">2017-08-11T14:19:50Z</dcterms:created>
  <dcterms:modified xsi:type="dcterms:W3CDTF">2024-09-19T11:44:51Z</dcterms:modified>
</cp:coreProperties>
</file>