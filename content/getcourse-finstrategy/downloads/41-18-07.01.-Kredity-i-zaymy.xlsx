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111824\Downloads\"/>
    </mc:Choice>
  </mc:AlternateContent>
  <xr:revisionPtr revIDLastSave="0" documentId="13_ncr:1_{07BBCD7A-1C3D-46BF-B3EE-B96B2448E16F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Моя долговая нагрузка" sheetId="8" r:id="rId1"/>
    <sheet name="Обязательства" sheetId="3" r:id="rId2"/>
  </sheets>
  <externalReferences>
    <externalReference r:id="rId3"/>
  </externalReferences>
  <definedNames>
    <definedName name="currency">[1]src!$N$1:$N$5</definedName>
    <definedName name="month">[1]src!$B$1:$B$13</definedName>
    <definedName name="year">[1]src!$E$1:$E$86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8" l="1"/>
  <c r="C5" i="8"/>
  <c r="D8" i="3" l="1"/>
</calcChain>
</file>

<file path=xl/sharedStrings.xml><?xml version="1.0" encoding="utf-8"?>
<sst xmlns="http://schemas.openxmlformats.org/spreadsheetml/2006/main" count="22" uniqueCount="22">
  <si>
    <t>Валюта</t>
  </si>
  <si>
    <t>рубли</t>
  </si>
  <si>
    <t>Вид обязательства</t>
  </si>
  <si>
    <t>Регулярный платеж</t>
  </si>
  <si>
    <t>Процентная ставка</t>
  </si>
  <si>
    <t>Плановая дата погашения</t>
  </si>
  <si>
    <t>Начальная сумма долга</t>
  </si>
  <si>
    <t>Общий срок кредита</t>
  </si>
  <si>
    <t>5 лет</t>
  </si>
  <si>
    <t>ИТОГО НА ДАННЫЙ МОМЕНТ</t>
  </si>
  <si>
    <t>Текущая сумма долга</t>
  </si>
  <si>
    <t xml:space="preserve">Потреб. кредит </t>
  </si>
  <si>
    <t>Уровни долговой нагрузки</t>
  </si>
  <si>
    <t>&lt; 30%</t>
  </si>
  <si>
    <t>Сумма всех платежей по кредитам в месяц</t>
  </si>
  <si>
    <t>30-40%</t>
  </si>
  <si>
    <t>40-50%</t>
  </si>
  <si>
    <t>&gt;50%</t>
  </si>
  <si>
    <t>Семейный (личный) доход в месяц</t>
  </si>
  <si>
    <t>Уровень долговой нагрузки</t>
  </si>
  <si>
    <t>Оптимальная сумма платежей по кредитам</t>
  </si>
  <si>
    <t>25 % от дохода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</si>
</sst>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₽&quot;_-;\-* #,##0.00\ &quot;₽&quot;_-;_-* &quot;-&quot;??\ &quot;₽&quot;_-;_-@_-"/>
    <numFmt numFmtId="165" formatCode="_-* #,##0\ &quot;₽&quot;_-;\-* #,##0\ &quot;₽&quot;_-;_-* &quot;-&quot;??\ &quot;₽&quot;_-;_-@_-"/>
    <numFmt numFmtId="166" formatCode="#,##0\ &quot;₽&quot;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theme="9" tint="0.39997558519241921"/>
        <bgColor rgb="FF00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/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165" fontId="0" fillId="0" borderId="3" xfId="1" applyNumberFormat="1" applyFont="1" applyBorder="1"/>
    <xf numFmtId="0" fontId="0" fillId="0" borderId="16" xfId="0" applyBorder="1" applyAlignment="1">
      <alignment horizontal="center" vertical="center"/>
    </xf>
    <xf numFmtId="9" fontId="0" fillId="0" borderId="3" xfId="2" applyFont="1" applyBorder="1"/>
    <xf numFmtId="9" fontId="0" fillId="0" borderId="1" xfId="2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2" borderId="7" xfId="0" applyFill="1" applyBorder="1"/>
    <xf numFmtId="165" fontId="0" fillId="2" borderId="8" xfId="1" applyNumberFormat="1" applyFont="1" applyFill="1" applyBorder="1"/>
    <xf numFmtId="0" fontId="0" fillId="2" borderId="8" xfId="0" applyFill="1" applyBorder="1" applyAlignment="1">
      <alignment horizontal="center" vertical="center"/>
    </xf>
    <xf numFmtId="9" fontId="0" fillId="2" borderId="8" xfId="2" applyFont="1" applyFill="1" applyBorder="1"/>
    <xf numFmtId="0" fontId="0" fillId="2" borderId="11" xfId="0" applyFill="1" applyBorder="1" applyAlignment="1">
      <alignment horizontal="center" vertical="center"/>
    </xf>
    <xf numFmtId="0" fontId="0" fillId="2" borderId="9" xfId="0" applyFill="1" applyBorder="1"/>
    <xf numFmtId="0" fontId="4" fillId="0" borderId="0" xfId="3" applyFont="1" applyAlignment="1">
      <alignment wrapText="1"/>
    </xf>
    <xf numFmtId="0" fontId="4" fillId="0" borderId="0" xfId="3" applyFont="1"/>
    <xf numFmtId="0" fontId="4" fillId="0" borderId="0" xfId="3" applyFont="1" applyAlignment="1">
      <alignment textRotation="180" wrapText="1"/>
    </xf>
    <xf numFmtId="0" fontId="3" fillId="0" borderId="0" xfId="3"/>
    <xf numFmtId="0" fontId="5" fillId="0" borderId="0" xfId="3" applyFont="1"/>
    <xf numFmtId="0" fontId="6" fillId="0" borderId="1" xfId="3" applyFont="1" applyBorder="1" applyAlignment="1">
      <alignment vertical="center" wrapText="1"/>
    </xf>
    <xf numFmtId="0" fontId="6" fillId="4" borderId="1" xfId="3" applyFont="1" applyFill="1" applyBorder="1" applyAlignment="1">
      <alignment vertical="center"/>
    </xf>
    <xf numFmtId="10" fontId="6" fillId="0" borderId="1" xfId="3" applyNumberFormat="1" applyFont="1" applyBorder="1" applyAlignment="1">
      <alignment vertical="center" wrapText="1"/>
    </xf>
    <xf numFmtId="0" fontId="6" fillId="5" borderId="1" xfId="3" applyFont="1" applyFill="1" applyBorder="1" applyAlignment="1">
      <alignment vertical="center"/>
    </xf>
    <xf numFmtId="0" fontId="6" fillId="6" borderId="1" xfId="3" applyFont="1" applyFill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7" borderId="1" xfId="3" applyFont="1" applyFill="1" applyBorder="1" applyAlignment="1">
      <alignment vertical="center"/>
    </xf>
    <xf numFmtId="0" fontId="6" fillId="0" borderId="10" xfId="3" applyFont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165" fontId="6" fillId="3" borderId="1" xfId="1" applyNumberFormat="1" applyFont="1" applyFill="1" applyBorder="1" applyAlignment="1">
      <alignment vertical="center"/>
    </xf>
    <xf numFmtId="166" fontId="6" fillId="3" borderId="1" xfId="3" applyNumberFormat="1" applyFont="1" applyFill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4" fillId="0" borderId="10" xfId="3" applyFont="1" applyBorder="1" applyAlignment="1">
      <alignment horizontal="center" wrapText="1"/>
    </xf>
    <xf numFmtId="0" fontId="4" fillId="0" borderId="17" xfId="3" applyFont="1" applyBorder="1" applyAlignment="1">
      <alignment horizontal="center" wrapText="1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</cellXfs>
  <cellStyles count="4">
    <cellStyle name="Денежный" xfId="1" builtinId="4"/>
    <cellStyle name="Обычный" xfId="0" builtinId="0"/>
    <cellStyle name="Обычный 2" xfId="3" xr:uid="{2D126AA3-A432-41F2-A784-5495C0EAF4B2}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neDrive/0.%20&#1053;&#1086;&#1074;&#1099;&#1081;%20&#1087;&#1088;&#1086;&#1077;&#1082;&#1090;/&#1044;&#1083;&#1103;%20&#1086;&#1085;-&#1083;&#1072;&#1081;&#1085;%20&#1096;&#1082;&#1086;&#1083;&#1099;/&#1046;&#1080;&#1079;&#1085;&#1100;%20&#1074;%20&#1076;&#1086;&#1089;&#1090;&#1072;&#1090;&#1082;&#1077;/&#1044;&#1083;&#1103;%20&#1079;&#1072;&#1087;&#1091;&#1089;&#1082;&#1072;/&#1052;&#1072;&#1090;&#1077;&#1088;&#1080;&#1072;&#1083;&#1099;/FP_v6.5%20(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  <sheetName val="products"/>
      <sheetName val="print"/>
      <sheetName val="анкета"/>
      <sheetName val="PnL1"/>
      <sheetName val="PnL2"/>
      <sheetName val="calc"/>
      <sheetName val="src"/>
      <sheetName val="graph_1"/>
      <sheetName val="graph_2"/>
      <sheetName val="tech#1"/>
      <sheetName val="tech#2"/>
      <sheetName val="tech#3"/>
      <sheetName val="tech#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2">
          <cell r="B2" t="str">
            <v>январь</v>
          </cell>
          <cell r="E2">
            <v>2016</v>
          </cell>
          <cell r="N2" t="str">
            <v>EUR</v>
          </cell>
        </row>
        <row r="3">
          <cell r="B3" t="str">
            <v>февраль</v>
          </cell>
          <cell r="E3">
            <v>2017</v>
          </cell>
          <cell r="N3" t="str">
            <v>USD</v>
          </cell>
        </row>
        <row r="4">
          <cell r="B4" t="str">
            <v>март</v>
          </cell>
          <cell r="E4">
            <v>2018</v>
          </cell>
          <cell r="N4" t="str">
            <v>GBP</v>
          </cell>
        </row>
        <row r="5">
          <cell r="B5" t="str">
            <v>апрель</v>
          </cell>
          <cell r="E5">
            <v>2019</v>
          </cell>
          <cell r="N5" t="str">
            <v>RUB</v>
          </cell>
        </row>
        <row r="6">
          <cell r="B6" t="str">
            <v>май</v>
          </cell>
          <cell r="E6">
            <v>2020</v>
          </cell>
        </row>
        <row r="7">
          <cell r="B7" t="str">
            <v>июнь</v>
          </cell>
          <cell r="E7">
            <v>2021</v>
          </cell>
        </row>
        <row r="8">
          <cell r="B8" t="str">
            <v>июль</v>
          </cell>
          <cell r="E8">
            <v>2022</v>
          </cell>
        </row>
        <row r="9">
          <cell r="B9" t="str">
            <v>август</v>
          </cell>
          <cell r="E9">
            <v>2023</v>
          </cell>
        </row>
        <row r="10">
          <cell r="B10" t="str">
            <v>сентябрь</v>
          </cell>
          <cell r="E10">
            <v>2024</v>
          </cell>
        </row>
        <row r="11">
          <cell r="B11" t="str">
            <v>октябрь</v>
          </cell>
          <cell r="E11">
            <v>2025</v>
          </cell>
        </row>
        <row r="12">
          <cell r="B12" t="str">
            <v>ноябрь</v>
          </cell>
          <cell r="E12">
            <v>2026</v>
          </cell>
        </row>
        <row r="13">
          <cell r="B13" t="str">
            <v>декабрь</v>
          </cell>
          <cell r="E13">
            <v>2027</v>
          </cell>
        </row>
        <row r="14">
          <cell r="E14">
            <v>2028</v>
          </cell>
        </row>
        <row r="15">
          <cell r="E15">
            <v>2029</v>
          </cell>
        </row>
        <row r="16">
          <cell r="E16">
            <v>2030</v>
          </cell>
        </row>
        <row r="17">
          <cell r="E17">
            <v>2031</v>
          </cell>
        </row>
        <row r="18">
          <cell r="E18">
            <v>2032</v>
          </cell>
        </row>
        <row r="19">
          <cell r="E19">
            <v>2033</v>
          </cell>
        </row>
        <row r="20">
          <cell r="E20">
            <v>2034</v>
          </cell>
        </row>
        <row r="21">
          <cell r="E21">
            <v>2035</v>
          </cell>
        </row>
        <row r="22">
          <cell r="E22">
            <v>2036</v>
          </cell>
        </row>
        <row r="23">
          <cell r="E23">
            <v>2037</v>
          </cell>
        </row>
        <row r="24">
          <cell r="E24">
            <v>2038</v>
          </cell>
        </row>
        <row r="25">
          <cell r="E25">
            <v>2039</v>
          </cell>
        </row>
        <row r="26">
          <cell r="E26">
            <v>2040</v>
          </cell>
        </row>
        <row r="27">
          <cell r="E27">
            <v>2041</v>
          </cell>
        </row>
        <row r="28">
          <cell r="E28">
            <v>2042</v>
          </cell>
        </row>
        <row r="29">
          <cell r="E29">
            <v>2043</v>
          </cell>
        </row>
        <row r="30">
          <cell r="E30">
            <v>2044</v>
          </cell>
        </row>
        <row r="31">
          <cell r="E31">
            <v>2045</v>
          </cell>
        </row>
        <row r="32">
          <cell r="E32">
            <v>2046</v>
          </cell>
        </row>
        <row r="33">
          <cell r="E33">
            <v>2047</v>
          </cell>
        </row>
        <row r="34">
          <cell r="E34">
            <v>2048</v>
          </cell>
        </row>
        <row r="35">
          <cell r="E35">
            <v>2049</v>
          </cell>
        </row>
        <row r="36">
          <cell r="E36">
            <v>2050</v>
          </cell>
        </row>
        <row r="37">
          <cell r="E37">
            <v>2051</v>
          </cell>
        </row>
        <row r="38">
          <cell r="E38">
            <v>2052</v>
          </cell>
        </row>
        <row r="39">
          <cell r="E39">
            <v>2053</v>
          </cell>
        </row>
        <row r="40">
          <cell r="E40">
            <v>2054</v>
          </cell>
        </row>
        <row r="41">
          <cell r="E41">
            <v>2055</v>
          </cell>
        </row>
        <row r="42">
          <cell r="E42">
            <v>2056</v>
          </cell>
        </row>
        <row r="43">
          <cell r="E43">
            <v>2057</v>
          </cell>
        </row>
        <row r="44">
          <cell r="E44">
            <v>2058</v>
          </cell>
        </row>
        <row r="45">
          <cell r="E45">
            <v>2059</v>
          </cell>
        </row>
        <row r="46">
          <cell r="E46">
            <v>2060</v>
          </cell>
        </row>
        <row r="47">
          <cell r="E47">
            <v>2061</v>
          </cell>
        </row>
        <row r="48">
          <cell r="E48">
            <v>2062</v>
          </cell>
        </row>
        <row r="49">
          <cell r="E49">
            <v>2063</v>
          </cell>
        </row>
        <row r="50">
          <cell r="E50">
            <v>2064</v>
          </cell>
        </row>
        <row r="51">
          <cell r="E51">
            <v>2065</v>
          </cell>
        </row>
        <row r="52">
          <cell r="E52">
            <v>2066</v>
          </cell>
        </row>
        <row r="53">
          <cell r="E53">
            <v>2067</v>
          </cell>
        </row>
        <row r="54">
          <cell r="E54">
            <v>2068</v>
          </cell>
        </row>
        <row r="55">
          <cell r="E55">
            <v>2069</v>
          </cell>
        </row>
        <row r="56">
          <cell r="E56">
            <v>2070</v>
          </cell>
        </row>
        <row r="57">
          <cell r="E57">
            <v>2071</v>
          </cell>
        </row>
        <row r="58">
          <cell r="E58">
            <v>2072</v>
          </cell>
        </row>
        <row r="59">
          <cell r="E59">
            <v>2073</v>
          </cell>
        </row>
        <row r="60">
          <cell r="E60">
            <v>2074</v>
          </cell>
        </row>
        <row r="61">
          <cell r="E61">
            <v>2075</v>
          </cell>
        </row>
        <row r="62">
          <cell r="E62">
            <v>2076</v>
          </cell>
        </row>
        <row r="63">
          <cell r="E63">
            <v>2077</v>
          </cell>
        </row>
        <row r="64">
          <cell r="E64">
            <v>2078</v>
          </cell>
        </row>
        <row r="65">
          <cell r="E65">
            <v>2079</v>
          </cell>
        </row>
        <row r="66">
          <cell r="E66">
            <v>2080</v>
          </cell>
        </row>
        <row r="67">
          <cell r="E67">
            <v>2081</v>
          </cell>
        </row>
        <row r="68">
          <cell r="E68">
            <v>2082</v>
          </cell>
        </row>
        <row r="69">
          <cell r="E69">
            <v>2083</v>
          </cell>
        </row>
        <row r="70">
          <cell r="E70">
            <v>2084</v>
          </cell>
        </row>
        <row r="71">
          <cell r="E71">
            <v>2085</v>
          </cell>
        </row>
        <row r="72">
          <cell r="E72">
            <v>2086</v>
          </cell>
        </row>
        <row r="73">
          <cell r="E73">
            <v>2087</v>
          </cell>
        </row>
        <row r="74">
          <cell r="E74">
            <v>2088</v>
          </cell>
        </row>
        <row r="75">
          <cell r="E75">
            <v>2089</v>
          </cell>
        </row>
        <row r="76">
          <cell r="E76">
            <v>2090</v>
          </cell>
        </row>
        <row r="77">
          <cell r="E77">
            <v>2091</v>
          </cell>
        </row>
        <row r="78">
          <cell r="E78">
            <v>2092</v>
          </cell>
        </row>
        <row r="79">
          <cell r="E79">
            <v>2093</v>
          </cell>
        </row>
        <row r="80">
          <cell r="E80">
            <v>2094</v>
          </cell>
        </row>
        <row r="81">
          <cell r="E81">
            <v>2095</v>
          </cell>
        </row>
        <row r="82">
          <cell r="E82">
            <v>2096</v>
          </cell>
        </row>
        <row r="83">
          <cell r="E83">
            <v>2097</v>
          </cell>
        </row>
        <row r="84">
          <cell r="E84">
            <v>2098</v>
          </cell>
        </row>
        <row r="85">
          <cell r="E85">
            <v>2099</v>
          </cell>
        </row>
        <row r="86">
          <cell r="E86">
            <v>2100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0D59-9B74-452E-9569-22D0FF18B5F7}">
  <sheetPr>
    <outlinePr summaryBelow="0" summaryRight="0"/>
  </sheetPr>
  <dimension ref="B2:X1002"/>
  <sheetViews>
    <sheetView workbookViewId="0">
      <selection activeCell="C18" sqref="C18"/>
    </sheetView>
  </sheetViews>
  <sheetFormatPr defaultColWidth="14.453125" defaultRowHeight="15.75" customHeight="1" x14ac:dyDescent="0.25"/>
  <cols>
    <col min="1" max="1" width="3.90625" style="27" customWidth="1"/>
    <col min="2" max="2" width="26.453125" style="27" customWidth="1"/>
    <col min="3" max="3" width="13.36328125" style="27" customWidth="1"/>
    <col min="4" max="4" width="15" style="27" customWidth="1"/>
    <col min="5" max="5" width="12.08984375" style="27" customWidth="1"/>
    <col min="6" max="6" width="11" style="27" customWidth="1"/>
    <col min="7" max="8" width="14.453125" style="27"/>
    <col min="9" max="9" width="19.453125" style="27" customWidth="1"/>
    <col min="10" max="16384" width="14.453125" style="27"/>
  </cols>
  <sheetData>
    <row r="2" spans="2:24" ht="13" x14ac:dyDescent="0.3">
      <c r="B2" s="42"/>
      <c r="C2" s="43"/>
      <c r="D2" s="43"/>
      <c r="E2" s="40" t="s">
        <v>12</v>
      </c>
      <c r="F2" s="41"/>
      <c r="G2" s="26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2:24" ht="29" x14ac:dyDescent="0.3">
      <c r="B3" s="29" t="s">
        <v>18</v>
      </c>
      <c r="C3" s="39">
        <v>120000</v>
      </c>
      <c r="D3" s="44"/>
      <c r="E3" s="35"/>
      <c r="F3" s="34" t="s">
        <v>13</v>
      </c>
      <c r="G3" s="26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2:24" ht="29" x14ac:dyDescent="0.3">
      <c r="B4" s="29" t="s">
        <v>14</v>
      </c>
      <c r="C4" s="38">
        <v>8953</v>
      </c>
      <c r="D4" s="45"/>
      <c r="E4" s="30"/>
      <c r="F4" s="34" t="s">
        <v>15</v>
      </c>
      <c r="G4" s="2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2:24" ht="27.75" customHeight="1" x14ac:dyDescent="0.3">
      <c r="B5" s="29" t="s">
        <v>19</v>
      </c>
      <c r="C5" s="31">
        <f>C4/C3</f>
        <v>7.4608333333333332E-2</v>
      </c>
      <c r="D5" s="46"/>
      <c r="E5" s="32"/>
      <c r="F5" s="34" t="s">
        <v>16</v>
      </c>
      <c r="G5" s="26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2:24" ht="31.25" customHeight="1" x14ac:dyDescent="0.3">
      <c r="B6" s="29" t="s">
        <v>20</v>
      </c>
      <c r="C6" s="37">
        <f>C3*0.25</f>
        <v>30000</v>
      </c>
      <c r="D6" s="36" t="s">
        <v>21</v>
      </c>
      <c r="E6" s="33"/>
      <c r="F6" s="34" t="s">
        <v>17</v>
      </c>
      <c r="G6" s="26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2:24" ht="13" x14ac:dyDescent="0.3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2:24" ht="13" x14ac:dyDescent="0.3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2:24" ht="13" x14ac:dyDescent="0.3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2:24" ht="13" x14ac:dyDescent="0.3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2:24" ht="13" x14ac:dyDescent="0.3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2:24" ht="13" x14ac:dyDescent="0.3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2:24" ht="13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2:24" ht="13" x14ac:dyDescent="0.3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2:24" ht="13" x14ac:dyDescent="0.3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2:24" ht="13" x14ac:dyDescent="0.3">
      <c r="B16" s="25"/>
      <c r="C16" s="25"/>
      <c r="D16" s="25"/>
      <c r="E16" s="25"/>
      <c r="F16" s="25"/>
      <c r="G16" s="25"/>
      <c r="H16" s="25"/>
      <c r="I16" s="25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spans="2:24" ht="13" x14ac:dyDescent="0.3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2:24" ht="13" x14ac:dyDescent="0.3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2:24" ht="13" x14ac:dyDescent="0.3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2:24" ht="13" x14ac:dyDescent="0.3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2:24" ht="13" x14ac:dyDescent="0.3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2:24" ht="13" x14ac:dyDescent="0.3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2:24" ht="13" x14ac:dyDescent="0.3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2:24" ht="13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2:24" ht="13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2:24" ht="13" x14ac:dyDescent="0.3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2:24" ht="13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2:24" ht="13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2:24" ht="13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2:24" ht="13" x14ac:dyDescent="0.3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2:24" ht="13" x14ac:dyDescent="0.3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2:24" ht="13" x14ac:dyDescent="0.3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2:24" ht="13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2:24" ht="13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2:24" ht="13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2:24" ht="13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2:24" ht="13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2:24" ht="13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2:24" ht="13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2:24" ht="13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2:24" ht="13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2:24" ht="13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2:24" ht="13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2:24" ht="13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2:24" ht="13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2:24" ht="13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2:24" ht="13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2:24" ht="13" x14ac:dyDescent="0.3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2:24" ht="13" x14ac:dyDescent="0.3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2:24" ht="13" x14ac:dyDescent="0.3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2:24" ht="13" x14ac:dyDescent="0.3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2:24" ht="13" x14ac:dyDescent="0.3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2:24" ht="13" x14ac:dyDescent="0.3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spans="2:24" ht="13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2:24" ht="13" x14ac:dyDescent="0.3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2:24" ht="13" x14ac:dyDescent="0.3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2:24" ht="13" x14ac:dyDescent="0.3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2:24" ht="13" x14ac:dyDescent="0.3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2:24" ht="13" x14ac:dyDescent="0.3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2:24" ht="13" x14ac:dyDescent="0.3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2:24" ht="13" x14ac:dyDescent="0.3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2:24" ht="13" x14ac:dyDescent="0.3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2:24" ht="13" x14ac:dyDescent="0.3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2:24" ht="13" x14ac:dyDescent="0.3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2:24" ht="13" x14ac:dyDescent="0.3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spans="2:24" ht="13" x14ac:dyDescent="0.3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2:24" ht="13" x14ac:dyDescent="0.3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2:24" ht="13" x14ac:dyDescent="0.3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spans="2:24" ht="13" x14ac:dyDescent="0.3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spans="2:24" ht="13" x14ac:dyDescent="0.3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2:24" ht="13" x14ac:dyDescent="0.3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spans="2:24" ht="13" x14ac:dyDescent="0.3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spans="2:24" ht="13" x14ac:dyDescent="0.3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2:24" ht="13" x14ac:dyDescent="0.3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2:24" ht="13" x14ac:dyDescent="0.3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2:24" ht="13" x14ac:dyDescent="0.3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2:24" ht="13" x14ac:dyDescent="0.3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2:24" ht="13" x14ac:dyDescent="0.3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2:24" ht="13" x14ac:dyDescent="0.3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2:24" ht="13" x14ac:dyDescent="0.3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spans="2:24" ht="13" x14ac:dyDescent="0.3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spans="2:24" ht="13" x14ac:dyDescent="0.3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2:24" ht="13" x14ac:dyDescent="0.3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2:24" ht="13" x14ac:dyDescent="0.3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2:24" ht="13" x14ac:dyDescent="0.3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2:24" ht="13" x14ac:dyDescent="0.3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2:24" ht="13" x14ac:dyDescent="0.3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spans="2:24" ht="13" x14ac:dyDescent="0.3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2:24" ht="13" x14ac:dyDescent="0.3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spans="2:24" ht="13" x14ac:dyDescent="0.3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2:24" ht="13" x14ac:dyDescent="0.3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2:24" ht="13" x14ac:dyDescent="0.3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2:24" ht="13" x14ac:dyDescent="0.3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spans="2:24" ht="13" x14ac:dyDescent="0.3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2:24" ht="13" x14ac:dyDescent="0.3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spans="2:24" ht="13" x14ac:dyDescent="0.3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 spans="2:24" ht="13" x14ac:dyDescent="0.3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spans="2:24" ht="13" x14ac:dyDescent="0.3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spans="2:24" ht="13" x14ac:dyDescent="0.3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 spans="2:24" ht="13" x14ac:dyDescent="0.3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spans="2:24" ht="13" x14ac:dyDescent="0.3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 spans="2:24" ht="13" x14ac:dyDescent="0.3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 spans="2:24" ht="13" x14ac:dyDescent="0.3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 spans="2:24" ht="13" x14ac:dyDescent="0.3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</row>
    <row r="105" spans="2:24" ht="13" x14ac:dyDescent="0.3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spans="2:24" ht="13" x14ac:dyDescent="0.3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 spans="2:24" ht="13" x14ac:dyDescent="0.3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 spans="2:24" ht="13" x14ac:dyDescent="0.3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spans="2:24" ht="13" x14ac:dyDescent="0.3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 spans="2:24" ht="13" x14ac:dyDescent="0.3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</row>
    <row r="111" spans="2:24" ht="13" x14ac:dyDescent="0.3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 spans="2:24" ht="13" x14ac:dyDescent="0.3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 spans="2:24" ht="13" x14ac:dyDescent="0.3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 spans="2:24" ht="13" x14ac:dyDescent="0.3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</row>
    <row r="115" spans="2:24" ht="13" x14ac:dyDescent="0.3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 spans="2:24" ht="13" x14ac:dyDescent="0.3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</row>
    <row r="117" spans="2:24" ht="13" x14ac:dyDescent="0.3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 spans="2:24" ht="13" x14ac:dyDescent="0.3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 spans="2:24" ht="13" x14ac:dyDescent="0.3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 spans="2:24" ht="13" x14ac:dyDescent="0.3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</row>
    <row r="121" spans="2:24" ht="13" x14ac:dyDescent="0.3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 spans="2:24" ht="13" x14ac:dyDescent="0.3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 spans="2:24" ht="13" x14ac:dyDescent="0.3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</row>
    <row r="124" spans="2:24" ht="13" x14ac:dyDescent="0.3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 spans="2:24" ht="13" x14ac:dyDescent="0.3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</row>
    <row r="126" spans="2:24" ht="13" x14ac:dyDescent="0.3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 spans="2:24" ht="13" x14ac:dyDescent="0.3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</row>
    <row r="128" spans="2:24" ht="13" x14ac:dyDescent="0.3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 spans="2:24" ht="13" x14ac:dyDescent="0.3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 spans="2:24" ht="13" x14ac:dyDescent="0.3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</row>
    <row r="131" spans="2:24" ht="13" x14ac:dyDescent="0.3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</row>
    <row r="132" spans="2:24" ht="13" x14ac:dyDescent="0.3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</row>
    <row r="133" spans="2:24" ht="13" x14ac:dyDescent="0.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 spans="2:24" ht="13" x14ac:dyDescent="0.3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 spans="2:24" ht="13" x14ac:dyDescent="0.3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spans="2:24" ht="13" x14ac:dyDescent="0.3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 spans="2:24" ht="13" x14ac:dyDescent="0.3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 spans="2:24" ht="13" x14ac:dyDescent="0.3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</row>
    <row r="139" spans="2:24" ht="13" x14ac:dyDescent="0.3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</row>
    <row r="140" spans="2:24" ht="13" x14ac:dyDescent="0.3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</row>
    <row r="141" spans="2:24" ht="13" x14ac:dyDescent="0.3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 spans="2:24" ht="13" x14ac:dyDescent="0.3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</row>
    <row r="143" spans="2:24" ht="13" x14ac:dyDescent="0.3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</row>
    <row r="144" spans="2:24" ht="13" x14ac:dyDescent="0.3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</row>
    <row r="145" spans="2:24" ht="13" x14ac:dyDescent="0.3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</row>
    <row r="146" spans="2:24" ht="13" x14ac:dyDescent="0.3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  <row r="147" spans="2:24" ht="13" x14ac:dyDescent="0.3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</row>
    <row r="148" spans="2:24" ht="13" x14ac:dyDescent="0.3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</row>
    <row r="149" spans="2:24" ht="13" x14ac:dyDescent="0.3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</row>
    <row r="150" spans="2:24" ht="13" x14ac:dyDescent="0.3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</row>
    <row r="151" spans="2:24" ht="13" x14ac:dyDescent="0.3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</row>
    <row r="152" spans="2:24" ht="13" x14ac:dyDescent="0.3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</row>
    <row r="153" spans="2:24" ht="13" x14ac:dyDescent="0.3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</row>
    <row r="154" spans="2:24" ht="13" x14ac:dyDescent="0.3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  <row r="155" spans="2:24" ht="13" x14ac:dyDescent="0.3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</row>
    <row r="156" spans="2:24" ht="13" x14ac:dyDescent="0.3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</row>
    <row r="157" spans="2:24" ht="13" x14ac:dyDescent="0.3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</row>
    <row r="158" spans="2:24" ht="13" x14ac:dyDescent="0.3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</row>
    <row r="159" spans="2:24" ht="13" x14ac:dyDescent="0.3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 spans="2:24" ht="13" x14ac:dyDescent="0.3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spans="2:24" ht="13" x14ac:dyDescent="0.3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 spans="2:24" ht="13" x14ac:dyDescent="0.3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</row>
    <row r="163" spans="2:24" ht="13" x14ac:dyDescent="0.3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spans="2:24" ht="13" x14ac:dyDescent="0.3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 spans="2:24" ht="13" x14ac:dyDescent="0.3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 spans="2:24" ht="13" x14ac:dyDescent="0.3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spans="2:24" ht="13" x14ac:dyDescent="0.3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spans="2:24" ht="13" x14ac:dyDescent="0.3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spans="2:24" ht="13" x14ac:dyDescent="0.3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spans="2:24" ht="13" x14ac:dyDescent="0.3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spans="2:24" ht="13" x14ac:dyDescent="0.3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spans="2:24" ht="13" x14ac:dyDescent="0.3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spans="2:24" ht="13" x14ac:dyDescent="0.3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spans="2:24" ht="13" x14ac:dyDescent="0.3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 spans="2:24" ht="13" x14ac:dyDescent="0.3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 spans="2:24" ht="13" x14ac:dyDescent="0.3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 spans="2:24" ht="13" x14ac:dyDescent="0.3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 spans="2:24" ht="13" x14ac:dyDescent="0.3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 spans="2:24" ht="13" x14ac:dyDescent="0.3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 spans="2:24" ht="13" x14ac:dyDescent="0.3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spans="2:24" ht="13" x14ac:dyDescent="0.3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 spans="2:24" ht="13" x14ac:dyDescent="0.3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 spans="2:24" ht="13" x14ac:dyDescent="0.3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spans="2:24" ht="13" x14ac:dyDescent="0.3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spans="2:24" ht="13" x14ac:dyDescent="0.3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 spans="2:24" ht="13" x14ac:dyDescent="0.3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spans="2:24" ht="13" x14ac:dyDescent="0.3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spans="2:24" ht="13" x14ac:dyDescent="0.3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 spans="2:24" ht="13" x14ac:dyDescent="0.3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spans="2:24" ht="13" x14ac:dyDescent="0.3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spans="2:24" ht="13" x14ac:dyDescent="0.3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 spans="2:24" ht="13" x14ac:dyDescent="0.3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spans="2:24" ht="13" x14ac:dyDescent="0.3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spans="2:24" ht="13" x14ac:dyDescent="0.3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spans="2:24" ht="13" x14ac:dyDescent="0.3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spans="2:24" ht="13" x14ac:dyDescent="0.3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spans="2:24" ht="13" x14ac:dyDescent="0.3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spans="2:24" ht="13" x14ac:dyDescent="0.3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spans="2:24" ht="13" x14ac:dyDescent="0.3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spans="2:24" ht="13" x14ac:dyDescent="0.3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spans="2:24" ht="13" x14ac:dyDescent="0.3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spans="2:24" ht="13" x14ac:dyDescent="0.3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spans="2:24" ht="13" x14ac:dyDescent="0.3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spans="2:24" ht="13" x14ac:dyDescent="0.3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 spans="2:24" ht="13" x14ac:dyDescent="0.3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 spans="2:24" ht="13" x14ac:dyDescent="0.3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 spans="2:24" ht="13" x14ac:dyDescent="0.3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 spans="2:24" ht="13" x14ac:dyDescent="0.3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 spans="2:24" ht="13" x14ac:dyDescent="0.3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 spans="2:24" ht="13" x14ac:dyDescent="0.3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 spans="2:24" ht="13" x14ac:dyDescent="0.3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spans="2:24" ht="13" x14ac:dyDescent="0.3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 spans="2:24" ht="13" x14ac:dyDescent="0.3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 spans="2:24" ht="13" x14ac:dyDescent="0.3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 spans="2:24" ht="13" x14ac:dyDescent="0.3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 spans="2:24" ht="13" x14ac:dyDescent="0.3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 spans="2:24" ht="13" x14ac:dyDescent="0.3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 spans="2:24" ht="13" x14ac:dyDescent="0.3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spans="2:24" ht="13" x14ac:dyDescent="0.3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spans="2:24" ht="13" x14ac:dyDescent="0.3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spans="2:24" ht="13" x14ac:dyDescent="0.3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 spans="2:24" ht="13" x14ac:dyDescent="0.3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spans="2:24" ht="13" x14ac:dyDescent="0.3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spans="2:24" ht="13" x14ac:dyDescent="0.3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spans="2:24" ht="13" x14ac:dyDescent="0.3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spans="2:24" ht="13" x14ac:dyDescent="0.3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spans="2:24" ht="13" x14ac:dyDescent="0.3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spans="2:24" ht="13" x14ac:dyDescent="0.3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spans="2:24" ht="13" x14ac:dyDescent="0.3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spans="2:24" ht="13" x14ac:dyDescent="0.3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spans="2:24" ht="13" x14ac:dyDescent="0.3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</row>
    <row r="232" spans="2:24" ht="13" x14ac:dyDescent="0.3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 spans="2:24" ht="13" x14ac:dyDescent="0.3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spans="2:24" ht="13" x14ac:dyDescent="0.3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 spans="2:24" ht="13" x14ac:dyDescent="0.3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 spans="2:24" ht="13" x14ac:dyDescent="0.3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</row>
    <row r="237" spans="2:24" ht="13" x14ac:dyDescent="0.3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</row>
    <row r="238" spans="2:24" ht="13" x14ac:dyDescent="0.3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</row>
    <row r="239" spans="2:24" ht="13" x14ac:dyDescent="0.3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</row>
    <row r="240" spans="2:24" ht="13" x14ac:dyDescent="0.3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</row>
    <row r="241" spans="2:24" ht="13" x14ac:dyDescent="0.3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</row>
    <row r="242" spans="2:24" ht="13" x14ac:dyDescent="0.3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</row>
    <row r="243" spans="2:24" ht="13" x14ac:dyDescent="0.3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</row>
    <row r="244" spans="2:24" ht="13" x14ac:dyDescent="0.3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</row>
    <row r="245" spans="2:24" ht="13" x14ac:dyDescent="0.3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</row>
    <row r="246" spans="2:24" ht="13" x14ac:dyDescent="0.3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</row>
    <row r="247" spans="2:24" ht="13" x14ac:dyDescent="0.3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</row>
    <row r="248" spans="2:24" ht="13" x14ac:dyDescent="0.3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</row>
    <row r="249" spans="2:24" ht="13" x14ac:dyDescent="0.3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</row>
    <row r="250" spans="2:24" ht="13" x14ac:dyDescent="0.3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</row>
    <row r="251" spans="2:24" ht="13" x14ac:dyDescent="0.3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</row>
    <row r="252" spans="2:24" ht="13" x14ac:dyDescent="0.3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</row>
    <row r="253" spans="2:24" ht="13" x14ac:dyDescent="0.3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</row>
    <row r="254" spans="2:24" ht="13" x14ac:dyDescent="0.3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</row>
    <row r="255" spans="2:24" ht="13" x14ac:dyDescent="0.3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</row>
    <row r="256" spans="2:24" ht="13" x14ac:dyDescent="0.3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</row>
    <row r="257" spans="2:24" ht="13" x14ac:dyDescent="0.3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</row>
    <row r="258" spans="2:24" ht="13" x14ac:dyDescent="0.3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</row>
    <row r="259" spans="2:24" ht="13" x14ac:dyDescent="0.3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</row>
    <row r="260" spans="2:24" ht="13" x14ac:dyDescent="0.3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</row>
    <row r="261" spans="2:24" ht="13" x14ac:dyDescent="0.3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</row>
    <row r="262" spans="2:24" ht="13" x14ac:dyDescent="0.3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</row>
    <row r="263" spans="2:24" ht="13" x14ac:dyDescent="0.3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</row>
    <row r="264" spans="2:24" ht="13" x14ac:dyDescent="0.3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</row>
    <row r="265" spans="2:24" ht="13" x14ac:dyDescent="0.3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</row>
    <row r="266" spans="2:24" ht="13" x14ac:dyDescent="0.3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</row>
    <row r="267" spans="2:24" ht="13" x14ac:dyDescent="0.3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 spans="2:24" ht="13" x14ac:dyDescent="0.3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 spans="2:24" ht="13" x14ac:dyDescent="0.3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</row>
    <row r="270" spans="2:24" ht="13" x14ac:dyDescent="0.3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</row>
    <row r="271" spans="2:24" ht="13" x14ac:dyDescent="0.3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</row>
    <row r="272" spans="2:24" ht="13" x14ac:dyDescent="0.3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</row>
    <row r="273" spans="2:24" ht="13" x14ac:dyDescent="0.3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</row>
    <row r="274" spans="2:24" ht="13" x14ac:dyDescent="0.3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</row>
    <row r="275" spans="2:24" ht="13" x14ac:dyDescent="0.3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</row>
    <row r="276" spans="2:24" ht="13" x14ac:dyDescent="0.3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</row>
    <row r="277" spans="2:24" ht="13" x14ac:dyDescent="0.3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</row>
    <row r="278" spans="2:24" ht="13" x14ac:dyDescent="0.3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</row>
    <row r="279" spans="2:24" ht="13" x14ac:dyDescent="0.3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</row>
    <row r="280" spans="2:24" ht="13" x14ac:dyDescent="0.3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</row>
    <row r="281" spans="2:24" ht="13" x14ac:dyDescent="0.3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</row>
    <row r="282" spans="2:24" ht="13" x14ac:dyDescent="0.3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</row>
    <row r="283" spans="2:24" ht="13" x14ac:dyDescent="0.3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</row>
    <row r="284" spans="2:24" ht="13" x14ac:dyDescent="0.3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 spans="2:24" ht="13" x14ac:dyDescent="0.3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</row>
    <row r="286" spans="2:24" ht="13" x14ac:dyDescent="0.3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</row>
    <row r="287" spans="2:24" ht="13" x14ac:dyDescent="0.3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</row>
    <row r="288" spans="2:24" ht="13" x14ac:dyDescent="0.3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</row>
    <row r="289" spans="2:24" ht="13" x14ac:dyDescent="0.3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</row>
    <row r="290" spans="2:24" ht="13" x14ac:dyDescent="0.3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</row>
    <row r="291" spans="2:24" ht="13" x14ac:dyDescent="0.3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</row>
    <row r="292" spans="2:24" ht="13" x14ac:dyDescent="0.3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</row>
    <row r="293" spans="2:24" ht="13" x14ac:dyDescent="0.3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 spans="2:24" ht="13" x14ac:dyDescent="0.3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</row>
    <row r="295" spans="2:24" ht="13" x14ac:dyDescent="0.3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</row>
    <row r="296" spans="2:24" ht="13" x14ac:dyDescent="0.3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</row>
    <row r="297" spans="2:24" ht="13" x14ac:dyDescent="0.3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</row>
    <row r="298" spans="2:24" ht="13" x14ac:dyDescent="0.3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</row>
    <row r="299" spans="2:24" ht="13" x14ac:dyDescent="0.3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</row>
    <row r="300" spans="2:24" ht="13" x14ac:dyDescent="0.3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</row>
    <row r="301" spans="2:24" ht="13" x14ac:dyDescent="0.3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</row>
    <row r="302" spans="2:24" ht="13" x14ac:dyDescent="0.3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</row>
    <row r="303" spans="2:24" ht="13" x14ac:dyDescent="0.3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</row>
    <row r="304" spans="2:24" ht="13" x14ac:dyDescent="0.3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</row>
    <row r="305" spans="2:24" ht="13" x14ac:dyDescent="0.3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</row>
    <row r="306" spans="2:24" ht="13" x14ac:dyDescent="0.3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</row>
    <row r="307" spans="2:24" ht="13" x14ac:dyDescent="0.3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</row>
    <row r="308" spans="2:24" ht="13" x14ac:dyDescent="0.3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</row>
    <row r="309" spans="2:24" ht="13" x14ac:dyDescent="0.3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</row>
    <row r="310" spans="2:24" ht="13" x14ac:dyDescent="0.3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</row>
    <row r="311" spans="2:24" ht="13" x14ac:dyDescent="0.3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</row>
    <row r="312" spans="2:24" ht="13" x14ac:dyDescent="0.3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</row>
    <row r="313" spans="2:24" ht="13" x14ac:dyDescent="0.3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</row>
    <row r="314" spans="2:24" ht="13" x14ac:dyDescent="0.3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</row>
    <row r="315" spans="2:24" ht="13" x14ac:dyDescent="0.3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</row>
    <row r="316" spans="2:24" ht="13" x14ac:dyDescent="0.3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 spans="2:24" ht="13" x14ac:dyDescent="0.3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</row>
    <row r="318" spans="2:24" ht="13" x14ac:dyDescent="0.3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</row>
    <row r="319" spans="2:24" ht="13" x14ac:dyDescent="0.3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</row>
    <row r="320" spans="2:24" ht="13" x14ac:dyDescent="0.3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</row>
    <row r="321" spans="2:24" ht="13" x14ac:dyDescent="0.3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</row>
    <row r="322" spans="2:24" ht="13" x14ac:dyDescent="0.3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</row>
    <row r="323" spans="2:24" ht="13" x14ac:dyDescent="0.3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</row>
    <row r="324" spans="2:24" ht="13" x14ac:dyDescent="0.3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</row>
    <row r="325" spans="2:24" ht="13" x14ac:dyDescent="0.3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</row>
    <row r="326" spans="2:24" ht="13" x14ac:dyDescent="0.3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</row>
    <row r="327" spans="2:24" ht="13" x14ac:dyDescent="0.3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</row>
    <row r="328" spans="2:24" ht="13" x14ac:dyDescent="0.3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</row>
    <row r="329" spans="2:24" ht="13" x14ac:dyDescent="0.3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</row>
    <row r="330" spans="2:24" ht="13" x14ac:dyDescent="0.3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</row>
    <row r="331" spans="2:24" ht="13" x14ac:dyDescent="0.3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</row>
    <row r="332" spans="2:24" ht="13" x14ac:dyDescent="0.3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  <row r="333" spans="2:24" ht="13" x14ac:dyDescent="0.3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</row>
    <row r="334" spans="2:24" ht="13" x14ac:dyDescent="0.3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</row>
    <row r="335" spans="2:24" ht="13" x14ac:dyDescent="0.3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</row>
    <row r="336" spans="2:24" ht="13" x14ac:dyDescent="0.3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 spans="2:24" ht="13" x14ac:dyDescent="0.3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</row>
    <row r="338" spans="2:24" ht="13" x14ac:dyDescent="0.3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</row>
    <row r="339" spans="2:24" ht="13" x14ac:dyDescent="0.3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</row>
    <row r="340" spans="2:24" ht="13" x14ac:dyDescent="0.3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</row>
    <row r="341" spans="2:24" ht="13" x14ac:dyDescent="0.3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</row>
    <row r="342" spans="2:24" ht="13" x14ac:dyDescent="0.3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</row>
    <row r="343" spans="2:24" ht="13" x14ac:dyDescent="0.3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</row>
    <row r="344" spans="2:24" ht="13" x14ac:dyDescent="0.3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</row>
    <row r="345" spans="2:24" ht="13" x14ac:dyDescent="0.3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</row>
    <row r="346" spans="2:24" ht="13" x14ac:dyDescent="0.3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</row>
    <row r="347" spans="2:24" ht="13" x14ac:dyDescent="0.3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</row>
    <row r="348" spans="2:24" ht="13" x14ac:dyDescent="0.3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</row>
    <row r="349" spans="2:24" ht="13" x14ac:dyDescent="0.3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</row>
    <row r="350" spans="2:24" ht="13" x14ac:dyDescent="0.3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</row>
    <row r="351" spans="2:24" ht="13" x14ac:dyDescent="0.3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</row>
    <row r="352" spans="2:24" ht="13" x14ac:dyDescent="0.3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</row>
    <row r="353" spans="2:24" ht="13" x14ac:dyDescent="0.3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</row>
    <row r="354" spans="2:24" ht="13" x14ac:dyDescent="0.3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</row>
    <row r="355" spans="2:24" ht="13" x14ac:dyDescent="0.3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</row>
    <row r="356" spans="2:24" ht="13" x14ac:dyDescent="0.3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</row>
    <row r="357" spans="2:24" ht="13" x14ac:dyDescent="0.3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</row>
    <row r="358" spans="2:24" ht="13" x14ac:dyDescent="0.3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</row>
    <row r="359" spans="2:24" ht="13" x14ac:dyDescent="0.3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</row>
    <row r="360" spans="2:24" ht="13" x14ac:dyDescent="0.3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</row>
    <row r="361" spans="2:24" ht="13" x14ac:dyDescent="0.3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 spans="2:24" ht="13" x14ac:dyDescent="0.3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</row>
    <row r="363" spans="2:24" ht="13" x14ac:dyDescent="0.3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</row>
    <row r="364" spans="2:24" ht="13" x14ac:dyDescent="0.3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 spans="2:24" ht="13" x14ac:dyDescent="0.3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</row>
    <row r="366" spans="2:24" ht="13" x14ac:dyDescent="0.3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</row>
    <row r="367" spans="2:24" ht="13" x14ac:dyDescent="0.3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</row>
    <row r="368" spans="2:24" ht="13" x14ac:dyDescent="0.3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</row>
    <row r="369" spans="2:24" ht="13" x14ac:dyDescent="0.3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</row>
    <row r="370" spans="2:24" ht="13" x14ac:dyDescent="0.3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</row>
    <row r="371" spans="2:24" ht="13" x14ac:dyDescent="0.3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</row>
    <row r="372" spans="2:24" ht="13" x14ac:dyDescent="0.3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</row>
    <row r="373" spans="2:24" ht="13" x14ac:dyDescent="0.3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 spans="2:24" ht="13" x14ac:dyDescent="0.3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</row>
    <row r="375" spans="2:24" ht="13" x14ac:dyDescent="0.3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</row>
    <row r="376" spans="2:24" ht="13" x14ac:dyDescent="0.3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</row>
    <row r="377" spans="2:24" ht="13" x14ac:dyDescent="0.3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</row>
    <row r="378" spans="2:24" ht="13" x14ac:dyDescent="0.3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</row>
    <row r="379" spans="2:24" ht="13" x14ac:dyDescent="0.3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</row>
    <row r="380" spans="2:24" ht="13" x14ac:dyDescent="0.3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</row>
    <row r="381" spans="2:24" ht="13" x14ac:dyDescent="0.3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</row>
    <row r="382" spans="2:24" ht="13" x14ac:dyDescent="0.3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</row>
    <row r="383" spans="2:24" ht="13" x14ac:dyDescent="0.3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</row>
    <row r="384" spans="2:24" ht="13" x14ac:dyDescent="0.3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</row>
    <row r="385" spans="2:24" ht="13" x14ac:dyDescent="0.3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</row>
    <row r="386" spans="2:24" ht="13" x14ac:dyDescent="0.3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</row>
    <row r="387" spans="2:24" ht="13" x14ac:dyDescent="0.3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</row>
    <row r="388" spans="2:24" ht="13" x14ac:dyDescent="0.3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</row>
    <row r="389" spans="2:24" ht="13" x14ac:dyDescent="0.3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</row>
    <row r="390" spans="2:24" ht="13" x14ac:dyDescent="0.3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</row>
    <row r="391" spans="2:24" ht="13" x14ac:dyDescent="0.3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</row>
    <row r="392" spans="2:24" ht="13" x14ac:dyDescent="0.3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</row>
    <row r="393" spans="2:24" ht="13" x14ac:dyDescent="0.3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</row>
    <row r="394" spans="2:24" ht="13" x14ac:dyDescent="0.3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</row>
    <row r="395" spans="2:24" ht="13" x14ac:dyDescent="0.3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</row>
    <row r="396" spans="2:24" ht="13" x14ac:dyDescent="0.3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</row>
    <row r="397" spans="2:24" ht="13" x14ac:dyDescent="0.3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</row>
    <row r="398" spans="2:24" ht="13" x14ac:dyDescent="0.3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</row>
    <row r="399" spans="2:24" ht="13" x14ac:dyDescent="0.3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</row>
    <row r="400" spans="2:24" ht="13" x14ac:dyDescent="0.3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</row>
    <row r="401" spans="2:24" ht="13" x14ac:dyDescent="0.3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</row>
    <row r="402" spans="2:24" ht="13" x14ac:dyDescent="0.3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</row>
    <row r="403" spans="2:24" ht="13" x14ac:dyDescent="0.3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</row>
    <row r="404" spans="2:24" ht="13" x14ac:dyDescent="0.3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</row>
    <row r="405" spans="2:24" ht="13" x14ac:dyDescent="0.3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</row>
    <row r="406" spans="2:24" ht="13" x14ac:dyDescent="0.3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</row>
    <row r="407" spans="2:24" ht="13" x14ac:dyDescent="0.3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</row>
    <row r="408" spans="2:24" ht="13" x14ac:dyDescent="0.3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</row>
    <row r="409" spans="2:24" ht="13" x14ac:dyDescent="0.3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</row>
    <row r="410" spans="2:24" ht="13" x14ac:dyDescent="0.3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</row>
    <row r="411" spans="2:24" ht="13" x14ac:dyDescent="0.3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</row>
    <row r="412" spans="2:24" ht="13" x14ac:dyDescent="0.3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</row>
    <row r="413" spans="2:24" ht="13" x14ac:dyDescent="0.3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</row>
    <row r="414" spans="2:24" ht="13" x14ac:dyDescent="0.3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</row>
    <row r="415" spans="2:24" ht="13" x14ac:dyDescent="0.3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</row>
    <row r="416" spans="2:24" ht="13" x14ac:dyDescent="0.3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</row>
    <row r="417" spans="2:24" ht="13" x14ac:dyDescent="0.3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</row>
    <row r="418" spans="2:24" ht="13" x14ac:dyDescent="0.3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</row>
    <row r="419" spans="2:24" ht="13" x14ac:dyDescent="0.3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</row>
    <row r="420" spans="2:24" ht="13" x14ac:dyDescent="0.3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</row>
    <row r="421" spans="2:24" ht="13" x14ac:dyDescent="0.3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</row>
    <row r="422" spans="2:24" ht="13" x14ac:dyDescent="0.3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</row>
    <row r="423" spans="2:24" ht="13" x14ac:dyDescent="0.3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</row>
    <row r="424" spans="2:24" ht="13" x14ac:dyDescent="0.3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</row>
    <row r="425" spans="2:24" ht="13" x14ac:dyDescent="0.3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</row>
    <row r="426" spans="2:24" ht="13" x14ac:dyDescent="0.3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</row>
    <row r="427" spans="2:24" ht="13" x14ac:dyDescent="0.3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</row>
    <row r="428" spans="2:24" ht="13" x14ac:dyDescent="0.3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</row>
    <row r="429" spans="2:24" ht="13" x14ac:dyDescent="0.3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</row>
    <row r="430" spans="2:24" ht="13" x14ac:dyDescent="0.3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</row>
    <row r="431" spans="2:24" ht="13" x14ac:dyDescent="0.3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</row>
    <row r="432" spans="2:24" ht="13" x14ac:dyDescent="0.3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</row>
    <row r="433" spans="2:24" ht="13" x14ac:dyDescent="0.3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</row>
    <row r="434" spans="2:24" ht="13" x14ac:dyDescent="0.3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</row>
    <row r="435" spans="2:24" ht="13" x14ac:dyDescent="0.3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</row>
    <row r="436" spans="2:24" ht="13" x14ac:dyDescent="0.3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</row>
    <row r="437" spans="2:24" ht="13" x14ac:dyDescent="0.3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</row>
    <row r="438" spans="2:24" ht="13" x14ac:dyDescent="0.3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</row>
    <row r="439" spans="2:24" ht="13" x14ac:dyDescent="0.3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</row>
    <row r="440" spans="2:24" ht="13" x14ac:dyDescent="0.3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</row>
    <row r="441" spans="2:24" ht="13" x14ac:dyDescent="0.3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</row>
    <row r="442" spans="2:24" ht="13" x14ac:dyDescent="0.3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</row>
    <row r="443" spans="2:24" ht="13" x14ac:dyDescent="0.3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</row>
    <row r="444" spans="2:24" ht="13" x14ac:dyDescent="0.3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</row>
    <row r="445" spans="2:24" ht="13" x14ac:dyDescent="0.3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</row>
    <row r="446" spans="2:24" ht="13" x14ac:dyDescent="0.3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</row>
    <row r="447" spans="2:24" ht="13" x14ac:dyDescent="0.3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</row>
    <row r="448" spans="2:24" ht="13" x14ac:dyDescent="0.3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</row>
    <row r="449" spans="2:24" ht="13" x14ac:dyDescent="0.3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</row>
    <row r="450" spans="2:24" ht="13" x14ac:dyDescent="0.3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</row>
    <row r="451" spans="2:24" ht="13" x14ac:dyDescent="0.3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</row>
    <row r="452" spans="2:24" ht="13" x14ac:dyDescent="0.3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</row>
    <row r="453" spans="2:24" ht="13" x14ac:dyDescent="0.3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</row>
    <row r="454" spans="2:24" ht="13" x14ac:dyDescent="0.3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</row>
    <row r="455" spans="2:24" ht="13" x14ac:dyDescent="0.3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</row>
    <row r="456" spans="2:24" ht="13" x14ac:dyDescent="0.3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</row>
    <row r="457" spans="2:24" ht="13" x14ac:dyDescent="0.3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</row>
    <row r="458" spans="2:24" ht="13" x14ac:dyDescent="0.3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</row>
    <row r="459" spans="2:24" ht="13" x14ac:dyDescent="0.3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</row>
    <row r="460" spans="2:24" ht="13" x14ac:dyDescent="0.3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</row>
    <row r="461" spans="2:24" ht="13" x14ac:dyDescent="0.3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</row>
    <row r="462" spans="2:24" ht="13" x14ac:dyDescent="0.3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</row>
    <row r="463" spans="2:24" ht="13" x14ac:dyDescent="0.3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</row>
    <row r="464" spans="2:24" ht="13" x14ac:dyDescent="0.3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</row>
    <row r="465" spans="2:24" ht="13" x14ac:dyDescent="0.3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</row>
    <row r="466" spans="2:24" ht="13" x14ac:dyDescent="0.3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</row>
    <row r="467" spans="2:24" ht="13" x14ac:dyDescent="0.3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</row>
    <row r="468" spans="2:24" ht="13" x14ac:dyDescent="0.3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</row>
    <row r="469" spans="2:24" ht="13" x14ac:dyDescent="0.3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</row>
    <row r="470" spans="2:24" ht="13" x14ac:dyDescent="0.3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</row>
    <row r="471" spans="2:24" ht="13" x14ac:dyDescent="0.3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</row>
    <row r="472" spans="2:24" ht="13" x14ac:dyDescent="0.3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</row>
    <row r="473" spans="2:24" ht="13" x14ac:dyDescent="0.3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</row>
    <row r="474" spans="2:24" ht="13" x14ac:dyDescent="0.3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</row>
    <row r="475" spans="2:24" ht="13" x14ac:dyDescent="0.3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</row>
    <row r="476" spans="2:24" ht="13" x14ac:dyDescent="0.3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</row>
    <row r="477" spans="2:24" ht="13" x14ac:dyDescent="0.3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</row>
    <row r="478" spans="2:24" ht="13" x14ac:dyDescent="0.3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</row>
    <row r="479" spans="2:24" ht="13" x14ac:dyDescent="0.3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</row>
    <row r="480" spans="2:24" ht="13" x14ac:dyDescent="0.3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</row>
    <row r="481" spans="2:24" ht="13" x14ac:dyDescent="0.3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</row>
    <row r="482" spans="2:24" ht="13" x14ac:dyDescent="0.3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</row>
    <row r="483" spans="2:24" ht="13" x14ac:dyDescent="0.3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</row>
    <row r="484" spans="2:24" ht="13" x14ac:dyDescent="0.3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</row>
    <row r="485" spans="2:24" ht="13" x14ac:dyDescent="0.3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</row>
    <row r="486" spans="2:24" ht="13" x14ac:dyDescent="0.3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</row>
    <row r="487" spans="2:24" ht="13" x14ac:dyDescent="0.3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</row>
    <row r="488" spans="2:24" ht="13" x14ac:dyDescent="0.3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</row>
    <row r="489" spans="2:24" ht="13" x14ac:dyDescent="0.3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</row>
    <row r="490" spans="2:24" ht="13" x14ac:dyDescent="0.3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</row>
    <row r="491" spans="2:24" ht="13" x14ac:dyDescent="0.3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</row>
    <row r="492" spans="2:24" ht="13" x14ac:dyDescent="0.3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</row>
    <row r="493" spans="2:24" ht="13" x14ac:dyDescent="0.3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</row>
    <row r="494" spans="2:24" ht="13" x14ac:dyDescent="0.3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</row>
    <row r="495" spans="2:24" ht="13" x14ac:dyDescent="0.3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</row>
    <row r="496" spans="2:24" ht="13" x14ac:dyDescent="0.3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</row>
    <row r="497" spans="2:24" ht="13" x14ac:dyDescent="0.3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</row>
    <row r="498" spans="2:24" ht="13" x14ac:dyDescent="0.3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</row>
    <row r="499" spans="2:24" ht="13" x14ac:dyDescent="0.3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</row>
    <row r="500" spans="2:24" ht="13" x14ac:dyDescent="0.3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</row>
    <row r="501" spans="2:24" ht="13" x14ac:dyDescent="0.3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 spans="2:24" ht="13" x14ac:dyDescent="0.3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</row>
    <row r="503" spans="2:24" ht="13" x14ac:dyDescent="0.3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</row>
    <row r="504" spans="2:24" ht="13" x14ac:dyDescent="0.3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</row>
    <row r="505" spans="2:24" ht="13" x14ac:dyDescent="0.3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</row>
    <row r="506" spans="2:24" ht="13" x14ac:dyDescent="0.3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</row>
    <row r="507" spans="2:24" ht="13" x14ac:dyDescent="0.3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</row>
    <row r="508" spans="2:24" ht="13" x14ac:dyDescent="0.3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</row>
    <row r="509" spans="2:24" ht="13" x14ac:dyDescent="0.3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</row>
    <row r="510" spans="2:24" ht="13" x14ac:dyDescent="0.3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</row>
    <row r="511" spans="2:24" ht="13" x14ac:dyDescent="0.3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</row>
    <row r="512" spans="2:24" ht="13" x14ac:dyDescent="0.3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</row>
    <row r="513" spans="2:24" ht="13" x14ac:dyDescent="0.3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</row>
    <row r="514" spans="2:24" ht="13" x14ac:dyDescent="0.3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</row>
    <row r="515" spans="2:24" ht="13" x14ac:dyDescent="0.3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</row>
    <row r="516" spans="2:24" ht="13" x14ac:dyDescent="0.3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</row>
    <row r="517" spans="2:24" ht="13" x14ac:dyDescent="0.3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</row>
    <row r="518" spans="2:24" ht="13" x14ac:dyDescent="0.3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</row>
    <row r="519" spans="2:24" ht="13" x14ac:dyDescent="0.3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</row>
    <row r="520" spans="2:24" ht="13" x14ac:dyDescent="0.3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</row>
    <row r="521" spans="2:24" ht="13" x14ac:dyDescent="0.3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</row>
    <row r="522" spans="2:24" ht="13" x14ac:dyDescent="0.3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</row>
    <row r="523" spans="2:24" ht="13" x14ac:dyDescent="0.3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</row>
    <row r="524" spans="2:24" ht="13" x14ac:dyDescent="0.3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 spans="2:24" ht="13" x14ac:dyDescent="0.3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</row>
    <row r="526" spans="2:24" ht="13" x14ac:dyDescent="0.3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</row>
    <row r="527" spans="2:24" ht="13" x14ac:dyDescent="0.3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</row>
    <row r="528" spans="2:24" ht="13" x14ac:dyDescent="0.3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</row>
    <row r="529" spans="2:24" ht="13" x14ac:dyDescent="0.3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</row>
    <row r="530" spans="2:24" ht="13" x14ac:dyDescent="0.3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</row>
    <row r="531" spans="2:24" ht="13" x14ac:dyDescent="0.3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</row>
    <row r="532" spans="2:24" ht="13" x14ac:dyDescent="0.3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</row>
    <row r="533" spans="2:24" ht="13" x14ac:dyDescent="0.3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</row>
    <row r="534" spans="2:24" ht="13" x14ac:dyDescent="0.3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</row>
    <row r="535" spans="2:24" ht="13" x14ac:dyDescent="0.3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</row>
    <row r="536" spans="2:24" ht="13" x14ac:dyDescent="0.3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</row>
    <row r="537" spans="2:24" ht="13" x14ac:dyDescent="0.3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</row>
    <row r="538" spans="2:24" ht="13" x14ac:dyDescent="0.3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</row>
    <row r="539" spans="2:24" ht="13" x14ac:dyDescent="0.3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</row>
    <row r="540" spans="2:24" ht="13" x14ac:dyDescent="0.3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</row>
    <row r="541" spans="2:24" ht="13" x14ac:dyDescent="0.3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</row>
    <row r="542" spans="2:24" ht="13" x14ac:dyDescent="0.3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</row>
    <row r="543" spans="2:24" ht="13" x14ac:dyDescent="0.3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</row>
    <row r="544" spans="2:24" ht="13" x14ac:dyDescent="0.3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</row>
    <row r="545" spans="2:24" ht="13" x14ac:dyDescent="0.3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</row>
    <row r="546" spans="2:24" ht="13" x14ac:dyDescent="0.3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</row>
    <row r="547" spans="2:24" ht="13" x14ac:dyDescent="0.3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</row>
    <row r="548" spans="2:24" ht="13" x14ac:dyDescent="0.3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</row>
    <row r="549" spans="2:24" ht="13" x14ac:dyDescent="0.3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</row>
    <row r="550" spans="2:24" ht="13" x14ac:dyDescent="0.3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</row>
    <row r="551" spans="2:24" ht="13" x14ac:dyDescent="0.3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</row>
    <row r="552" spans="2:24" ht="13" x14ac:dyDescent="0.3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</row>
    <row r="553" spans="2:24" ht="13" x14ac:dyDescent="0.3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</row>
    <row r="554" spans="2:24" ht="13" x14ac:dyDescent="0.3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</row>
    <row r="555" spans="2:24" ht="13" x14ac:dyDescent="0.3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</row>
    <row r="556" spans="2:24" ht="13" x14ac:dyDescent="0.3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</row>
    <row r="557" spans="2:24" ht="13" x14ac:dyDescent="0.3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</row>
    <row r="558" spans="2:24" ht="13" x14ac:dyDescent="0.3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</row>
    <row r="559" spans="2:24" ht="13" x14ac:dyDescent="0.3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</row>
    <row r="560" spans="2:24" ht="13" x14ac:dyDescent="0.3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</row>
    <row r="561" spans="2:24" ht="13" x14ac:dyDescent="0.3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</row>
    <row r="562" spans="2:24" ht="13" x14ac:dyDescent="0.3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</row>
    <row r="563" spans="2:24" ht="13" x14ac:dyDescent="0.3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</row>
    <row r="564" spans="2:24" ht="13" x14ac:dyDescent="0.3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</row>
    <row r="565" spans="2:24" ht="13" x14ac:dyDescent="0.3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 spans="2:24" ht="13" x14ac:dyDescent="0.3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</row>
    <row r="567" spans="2:24" ht="13" x14ac:dyDescent="0.3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</row>
    <row r="568" spans="2:24" ht="13" x14ac:dyDescent="0.3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</row>
    <row r="569" spans="2:24" ht="13" x14ac:dyDescent="0.3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</row>
    <row r="570" spans="2:24" ht="13" x14ac:dyDescent="0.3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</row>
    <row r="571" spans="2:24" ht="13" x14ac:dyDescent="0.3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</row>
    <row r="572" spans="2:24" ht="13" x14ac:dyDescent="0.3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</row>
    <row r="573" spans="2:24" ht="13" x14ac:dyDescent="0.3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</row>
    <row r="574" spans="2:24" ht="13" x14ac:dyDescent="0.3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</row>
    <row r="575" spans="2:24" ht="13" x14ac:dyDescent="0.3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</row>
    <row r="576" spans="2:24" ht="13" x14ac:dyDescent="0.3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</row>
    <row r="577" spans="2:24" ht="13" x14ac:dyDescent="0.3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</row>
    <row r="578" spans="2:24" ht="13" x14ac:dyDescent="0.3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</row>
    <row r="579" spans="2:24" ht="13" x14ac:dyDescent="0.3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</row>
    <row r="580" spans="2:24" ht="13" x14ac:dyDescent="0.3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</row>
    <row r="581" spans="2:24" ht="13" x14ac:dyDescent="0.3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</row>
    <row r="582" spans="2:24" ht="13" x14ac:dyDescent="0.3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</row>
    <row r="583" spans="2:24" ht="13" x14ac:dyDescent="0.3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</row>
    <row r="584" spans="2:24" ht="13" x14ac:dyDescent="0.3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</row>
    <row r="585" spans="2:24" ht="13" x14ac:dyDescent="0.3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</row>
    <row r="586" spans="2:24" ht="13" x14ac:dyDescent="0.3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</row>
    <row r="587" spans="2:24" ht="13" x14ac:dyDescent="0.3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</row>
    <row r="588" spans="2:24" ht="13" x14ac:dyDescent="0.3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</row>
    <row r="589" spans="2:24" ht="13" x14ac:dyDescent="0.3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</row>
    <row r="590" spans="2:24" ht="13" x14ac:dyDescent="0.3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</row>
    <row r="591" spans="2:24" ht="13" x14ac:dyDescent="0.3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</row>
    <row r="592" spans="2:24" ht="13" x14ac:dyDescent="0.3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</row>
    <row r="593" spans="2:24" ht="13" x14ac:dyDescent="0.3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</row>
    <row r="594" spans="2:24" ht="13" x14ac:dyDescent="0.3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</row>
    <row r="595" spans="2:24" ht="13" x14ac:dyDescent="0.3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</row>
    <row r="596" spans="2:24" ht="13" x14ac:dyDescent="0.3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</row>
    <row r="597" spans="2:24" ht="13" x14ac:dyDescent="0.3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</row>
    <row r="598" spans="2:24" ht="13" x14ac:dyDescent="0.3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</row>
    <row r="599" spans="2:24" ht="13" x14ac:dyDescent="0.3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</row>
    <row r="600" spans="2:24" ht="13" x14ac:dyDescent="0.3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</row>
    <row r="601" spans="2:24" ht="13" x14ac:dyDescent="0.3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</row>
    <row r="602" spans="2:24" ht="13" x14ac:dyDescent="0.3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</row>
    <row r="603" spans="2:24" ht="13" x14ac:dyDescent="0.3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</row>
    <row r="604" spans="2:24" ht="13" x14ac:dyDescent="0.3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</row>
    <row r="605" spans="2:24" ht="13" x14ac:dyDescent="0.3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</row>
    <row r="606" spans="2:24" ht="13" x14ac:dyDescent="0.3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 spans="2:24" ht="13" x14ac:dyDescent="0.3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</row>
    <row r="608" spans="2:24" ht="13" x14ac:dyDescent="0.3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</row>
    <row r="609" spans="2:24" ht="13" x14ac:dyDescent="0.3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</row>
    <row r="610" spans="2:24" ht="13" x14ac:dyDescent="0.3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</row>
    <row r="611" spans="2:24" ht="13" x14ac:dyDescent="0.3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</row>
    <row r="612" spans="2:24" ht="13" x14ac:dyDescent="0.3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</row>
    <row r="613" spans="2:24" ht="13" x14ac:dyDescent="0.3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</row>
    <row r="614" spans="2:24" ht="13" x14ac:dyDescent="0.3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</row>
    <row r="615" spans="2:24" ht="13" x14ac:dyDescent="0.3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</row>
    <row r="616" spans="2:24" ht="13" x14ac:dyDescent="0.3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</row>
    <row r="617" spans="2:24" ht="13" x14ac:dyDescent="0.3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</row>
    <row r="618" spans="2:24" ht="13" x14ac:dyDescent="0.3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</row>
    <row r="619" spans="2:24" ht="13" x14ac:dyDescent="0.3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</row>
    <row r="620" spans="2:24" ht="13" x14ac:dyDescent="0.3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</row>
    <row r="621" spans="2:24" ht="13" x14ac:dyDescent="0.3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</row>
    <row r="622" spans="2:24" ht="13" x14ac:dyDescent="0.3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</row>
    <row r="623" spans="2:24" ht="13" x14ac:dyDescent="0.3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</row>
    <row r="624" spans="2:24" ht="13" x14ac:dyDescent="0.3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</row>
    <row r="625" spans="2:24" ht="13" x14ac:dyDescent="0.3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</row>
    <row r="626" spans="2:24" ht="13" x14ac:dyDescent="0.3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</row>
    <row r="627" spans="2:24" ht="13" x14ac:dyDescent="0.3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</row>
    <row r="628" spans="2:24" ht="13" x14ac:dyDescent="0.3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</row>
    <row r="629" spans="2:24" ht="13" x14ac:dyDescent="0.3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</row>
    <row r="630" spans="2:24" ht="13" x14ac:dyDescent="0.3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</row>
    <row r="631" spans="2:24" ht="13" x14ac:dyDescent="0.3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</row>
    <row r="632" spans="2:24" ht="13" x14ac:dyDescent="0.3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</row>
    <row r="633" spans="2:24" ht="13" x14ac:dyDescent="0.3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</row>
    <row r="634" spans="2:24" ht="13" x14ac:dyDescent="0.3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</row>
    <row r="635" spans="2:24" ht="13" x14ac:dyDescent="0.3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</row>
    <row r="636" spans="2:24" ht="13" x14ac:dyDescent="0.3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</row>
    <row r="637" spans="2:24" ht="13" x14ac:dyDescent="0.3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</row>
    <row r="638" spans="2:24" ht="13" x14ac:dyDescent="0.3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</row>
    <row r="639" spans="2:24" ht="13" x14ac:dyDescent="0.3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</row>
    <row r="640" spans="2:24" ht="13" x14ac:dyDescent="0.3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</row>
    <row r="641" spans="2:24" ht="13" x14ac:dyDescent="0.3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</row>
    <row r="642" spans="2:24" ht="13" x14ac:dyDescent="0.3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</row>
    <row r="643" spans="2:24" ht="13" x14ac:dyDescent="0.3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 spans="2:24" ht="13" x14ac:dyDescent="0.3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 spans="2:24" ht="13" x14ac:dyDescent="0.3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 spans="2:24" ht="13" x14ac:dyDescent="0.3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</row>
    <row r="647" spans="2:24" ht="13" x14ac:dyDescent="0.3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</row>
    <row r="648" spans="2:24" ht="13" x14ac:dyDescent="0.3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</row>
    <row r="649" spans="2:24" ht="13" x14ac:dyDescent="0.3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</row>
    <row r="650" spans="2:24" ht="13" x14ac:dyDescent="0.3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</row>
    <row r="651" spans="2:24" ht="13" x14ac:dyDescent="0.3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</row>
    <row r="652" spans="2:24" ht="13" x14ac:dyDescent="0.3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</row>
    <row r="653" spans="2:24" ht="13" x14ac:dyDescent="0.3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</row>
    <row r="654" spans="2:24" ht="13" x14ac:dyDescent="0.3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</row>
    <row r="655" spans="2:24" ht="13" x14ac:dyDescent="0.3"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</row>
    <row r="656" spans="2:24" ht="13" x14ac:dyDescent="0.3"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</row>
    <row r="657" spans="2:24" ht="13" x14ac:dyDescent="0.3"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</row>
    <row r="658" spans="2:24" ht="13" x14ac:dyDescent="0.3"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</row>
    <row r="659" spans="2:24" ht="13" x14ac:dyDescent="0.3"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</row>
    <row r="660" spans="2:24" ht="13" x14ac:dyDescent="0.3"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</row>
    <row r="661" spans="2:24" ht="13" x14ac:dyDescent="0.3"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</row>
    <row r="662" spans="2:24" ht="13" x14ac:dyDescent="0.3"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</row>
    <row r="663" spans="2:24" ht="13" x14ac:dyDescent="0.3"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</row>
    <row r="664" spans="2:24" ht="13" x14ac:dyDescent="0.3"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</row>
    <row r="665" spans="2:24" ht="13" x14ac:dyDescent="0.3"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</row>
    <row r="666" spans="2:24" ht="13" x14ac:dyDescent="0.3"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</row>
    <row r="667" spans="2:24" ht="13" x14ac:dyDescent="0.3"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</row>
    <row r="668" spans="2:24" ht="13" x14ac:dyDescent="0.3"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</row>
    <row r="669" spans="2:24" ht="13" x14ac:dyDescent="0.3"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</row>
    <row r="670" spans="2:24" ht="13" x14ac:dyDescent="0.3"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</row>
    <row r="671" spans="2:24" ht="13" x14ac:dyDescent="0.3"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</row>
    <row r="672" spans="2:24" ht="13" x14ac:dyDescent="0.3"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</row>
    <row r="673" spans="2:24" ht="13" x14ac:dyDescent="0.3"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</row>
    <row r="674" spans="2:24" ht="13" x14ac:dyDescent="0.3"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</row>
    <row r="675" spans="2:24" ht="13" x14ac:dyDescent="0.3"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</row>
    <row r="676" spans="2:24" ht="13" x14ac:dyDescent="0.3"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</row>
    <row r="677" spans="2:24" ht="13" x14ac:dyDescent="0.3"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</row>
    <row r="678" spans="2:24" ht="13" x14ac:dyDescent="0.3"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</row>
    <row r="679" spans="2:24" ht="13" x14ac:dyDescent="0.3"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</row>
    <row r="680" spans="2:24" ht="13" x14ac:dyDescent="0.3"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</row>
    <row r="681" spans="2:24" ht="13" x14ac:dyDescent="0.3"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</row>
    <row r="682" spans="2:24" ht="13" x14ac:dyDescent="0.3"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</row>
    <row r="683" spans="2:24" ht="13" x14ac:dyDescent="0.3"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</row>
    <row r="684" spans="2:24" ht="13" x14ac:dyDescent="0.3"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</row>
    <row r="685" spans="2:24" ht="13" x14ac:dyDescent="0.3"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</row>
    <row r="686" spans="2:24" ht="13" x14ac:dyDescent="0.3"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</row>
    <row r="687" spans="2:24" ht="13" x14ac:dyDescent="0.3"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</row>
    <row r="688" spans="2:24" ht="13" x14ac:dyDescent="0.3"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</row>
    <row r="689" spans="2:24" ht="13" x14ac:dyDescent="0.3"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</row>
    <row r="690" spans="2:24" ht="13" x14ac:dyDescent="0.3"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</row>
    <row r="691" spans="2:24" ht="13" x14ac:dyDescent="0.3"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</row>
    <row r="692" spans="2:24" ht="13" x14ac:dyDescent="0.3"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</row>
    <row r="693" spans="2:24" ht="13" x14ac:dyDescent="0.3"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</row>
    <row r="694" spans="2:24" ht="13" x14ac:dyDescent="0.3"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</row>
    <row r="695" spans="2:24" ht="13" x14ac:dyDescent="0.3"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</row>
    <row r="696" spans="2:24" ht="13" x14ac:dyDescent="0.3"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</row>
    <row r="697" spans="2:24" ht="13" x14ac:dyDescent="0.3"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</row>
    <row r="698" spans="2:24" ht="13" x14ac:dyDescent="0.3"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</row>
    <row r="699" spans="2:24" ht="13" x14ac:dyDescent="0.3"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</row>
    <row r="700" spans="2:24" ht="13" x14ac:dyDescent="0.3"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</row>
    <row r="701" spans="2:24" ht="13" x14ac:dyDescent="0.3"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</row>
    <row r="702" spans="2:24" ht="13" x14ac:dyDescent="0.3"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</row>
    <row r="703" spans="2:24" ht="13" x14ac:dyDescent="0.3"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</row>
    <row r="704" spans="2:24" ht="13" x14ac:dyDescent="0.3"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</row>
    <row r="705" spans="2:24" ht="13" x14ac:dyDescent="0.3"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</row>
    <row r="706" spans="2:24" ht="13" x14ac:dyDescent="0.3"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</row>
    <row r="707" spans="2:24" ht="13" x14ac:dyDescent="0.3"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</row>
    <row r="708" spans="2:24" ht="13" x14ac:dyDescent="0.3"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</row>
    <row r="709" spans="2:24" ht="13" x14ac:dyDescent="0.3"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</row>
    <row r="710" spans="2:24" ht="13" x14ac:dyDescent="0.3"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</row>
    <row r="711" spans="2:24" ht="13" x14ac:dyDescent="0.3"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</row>
    <row r="712" spans="2:24" ht="13" x14ac:dyDescent="0.3"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</row>
    <row r="713" spans="2:24" ht="13" x14ac:dyDescent="0.3"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</row>
    <row r="714" spans="2:24" ht="13" x14ac:dyDescent="0.3"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</row>
    <row r="715" spans="2:24" ht="13" x14ac:dyDescent="0.3"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</row>
    <row r="716" spans="2:24" ht="13" x14ac:dyDescent="0.3"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</row>
    <row r="717" spans="2:24" ht="13" x14ac:dyDescent="0.3"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</row>
    <row r="718" spans="2:24" ht="13" x14ac:dyDescent="0.3"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</row>
    <row r="719" spans="2:24" ht="13" x14ac:dyDescent="0.3"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</row>
    <row r="720" spans="2:24" ht="13" x14ac:dyDescent="0.3"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</row>
    <row r="721" spans="2:24" ht="13" x14ac:dyDescent="0.3"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</row>
    <row r="722" spans="2:24" ht="13" x14ac:dyDescent="0.3"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</row>
    <row r="723" spans="2:24" ht="13" x14ac:dyDescent="0.3"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</row>
    <row r="724" spans="2:24" ht="13" x14ac:dyDescent="0.3"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</row>
    <row r="725" spans="2:24" ht="13" x14ac:dyDescent="0.3"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</row>
    <row r="726" spans="2:24" ht="13" x14ac:dyDescent="0.3"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</row>
    <row r="727" spans="2:24" ht="13" x14ac:dyDescent="0.3"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</row>
    <row r="728" spans="2:24" ht="13" x14ac:dyDescent="0.3"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</row>
    <row r="729" spans="2:24" ht="13" x14ac:dyDescent="0.3"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</row>
    <row r="730" spans="2:24" ht="13" x14ac:dyDescent="0.3"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</row>
    <row r="731" spans="2:24" ht="13" x14ac:dyDescent="0.3"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</row>
    <row r="732" spans="2:24" ht="13" x14ac:dyDescent="0.3"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</row>
    <row r="733" spans="2:24" ht="13" x14ac:dyDescent="0.3"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</row>
    <row r="734" spans="2:24" ht="13" x14ac:dyDescent="0.3"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</row>
    <row r="735" spans="2:24" ht="13" x14ac:dyDescent="0.3"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</row>
    <row r="736" spans="2:24" ht="13" x14ac:dyDescent="0.3"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</row>
    <row r="737" spans="2:24" ht="13" x14ac:dyDescent="0.3"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</row>
    <row r="738" spans="2:24" ht="13" x14ac:dyDescent="0.3"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</row>
    <row r="739" spans="2:24" ht="13" x14ac:dyDescent="0.3"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</row>
    <row r="740" spans="2:24" ht="13" x14ac:dyDescent="0.3"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</row>
    <row r="741" spans="2:24" ht="13" x14ac:dyDescent="0.3"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</row>
    <row r="742" spans="2:24" ht="13" x14ac:dyDescent="0.3"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</row>
    <row r="743" spans="2:24" ht="13" x14ac:dyDescent="0.3"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</row>
    <row r="744" spans="2:24" ht="13" x14ac:dyDescent="0.3"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</row>
    <row r="745" spans="2:24" ht="13" x14ac:dyDescent="0.3"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</row>
    <row r="746" spans="2:24" ht="13" x14ac:dyDescent="0.3"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</row>
    <row r="747" spans="2:24" ht="13" x14ac:dyDescent="0.3"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</row>
    <row r="748" spans="2:24" ht="13" x14ac:dyDescent="0.3"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</row>
    <row r="749" spans="2:24" ht="13" x14ac:dyDescent="0.3"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</row>
    <row r="750" spans="2:24" ht="13" x14ac:dyDescent="0.3"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</row>
    <row r="751" spans="2:24" ht="13" x14ac:dyDescent="0.3"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</row>
    <row r="752" spans="2:24" ht="13" x14ac:dyDescent="0.3"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</row>
    <row r="753" spans="2:24" ht="13" x14ac:dyDescent="0.3"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</row>
    <row r="754" spans="2:24" ht="13" x14ac:dyDescent="0.3"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</row>
    <row r="755" spans="2:24" ht="13" x14ac:dyDescent="0.3"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</row>
    <row r="756" spans="2:24" ht="13" x14ac:dyDescent="0.3"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</row>
    <row r="757" spans="2:24" ht="13" x14ac:dyDescent="0.3"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</row>
    <row r="758" spans="2:24" ht="13" x14ac:dyDescent="0.3"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</row>
    <row r="759" spans="2:24" ht="13" x14ac:dyDescent="0.3"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</row>
    <row r="760" spans="2:24" ht="13" x14ac:dyDescent="0.3"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</row>
    <row r="761" spans="2:24" ht="13" x14ac:dyDescent="0.3"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</row>
    <row r="762" spans="2:24" ht="13" x14ac:dyDescent="0.3"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</row>
    <row r="763" spans="2:24" ht="13" x14ac:dyDescent="0.3"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</row>
    <row r="764" spans="2:24" ht="13" x14ac:dyDescent="0.3"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</row>
    <row r="765" spans="2:24" ht="13" x14ac:dyDescent="0.3"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</row>
    <row r="766" spans="2:24" ht="13" x14ac:dyDescent="0.3"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</row>
    <row r="767" spans="2:24" ht="13" x14ac:dyDescent="0.3"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</row>
    <row r="768" spans="2:24" ht="13" x14ac:dyDescent="0.3"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</row>
    <row r="769" spans="2:24" ht="13" x14ac:dyDescent="0.3"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</row>
    <row r="770" spans="2:24" ht="13" x14ac:dyDescent="0.3"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</row>
    <row r="771" spans="2:24" ht="13" x14ac:dyDescent="0.3"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</row>
    <row r="772" spans="2:24" ht="13" x14ac:dyDescent="0.3"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</row>
    <row r="773" spans="2:24" ht="13" x14ac:dyDescent="0.3"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</row>
    <row r="774" spans="2:24" ht="13" x14ac:dyDescent="0.3"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</row>
    <row r="775" spans="2:24" ht="13" x14ac:dyDescent="0.3"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</row>
    <row r="776" spans="2:24" ht="13" x14ac:dyDescent="0.3"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</row>
    <row r="777" spans="2:24" ht="13" x14ac:dyDescent="0.3"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</row>
    <row r="778" spans="2:24" ht="13" x14ac:dyDescent="0.3"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</row>
    <row r="779" spans="2:24" ht="13" x14ac:dyDescent="0.3"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</row>
    <row r="780" spans="2:24" ht="13" x14ac:dyDescent="0.3"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</row>
    <row r="781" spans="2:24" ht="13" x14ac:dyDescent="0.3"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</row>
    <row r="782" spans="2:24" ht="13" x14ac:dyDescent="0.3"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</row>
    <row r="783" spans="2:24" ht="13" x14ac:dyDescent="0.3"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</row>
    <row r="784" spans="2:24" ht="13" x14ac:dyDescent="0.3"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</row>
    <row r="785" spans="2:24" ht="13" x14ac:dyDescent="0.3"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</row>
    <row r="786" spans="2:24" ht="13" x14ac:dyDescent="0.3"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</row>
    <row r="787" spans="2:24" ht="13" x14ac:dyDescent="0.3"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</row>
    <row r="788" spans="2:24" ht="13" x14ac:dyDescent="0.3"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</row>
    <row r="789" spans="2:24" ht="13" x14ac:dyDescent="0.3"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</row>
    <row r="790" spans="2:24" ht="13" x14ac:dyDescent="0.3"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</row>
    <row r="791" spans="2:24" ht="13" x14ac:dyDescent="0.3"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</row>
    <row r="792" spans="2:24" ht="13" x14ac:dyDescent="0.3"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</row>
    <row r="793" spans="2:24" ht="13" x14ac:dyDescent="0.3"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</row>
    <row r="794" spans="2:24" ht="13" x14ac:dyDescent="0.3"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</row>
    <row r="795" spans="2:24" ht="13" x14ac:dyDescent="0.3"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</row>
    <row r="796" spans="2:24" ht="13" x14ac:dyDescent="0.3"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</row>
    <row r="797" spans="2:24" ht="13" x14ac:dyDescent="0.3"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</row>
    <row r="798" spans="2:24" ht="13" x14ac:dyDescent="0.3"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</row>
    <row r="799" spans="2:24" ht="13" x14ac:dyDescent="0.3"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</row>
    <row r="800" spans="2:24" ht="13" x14ac:dyDescent="0.3"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</row>
    <row r="801" spans="2:24" ht="13" x14ac:dyDescent="0.3"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</row>
    <row r="802" spans="2:24" ht="13" x14ac:dyDescent="0.3"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</row>
    <row r="803" spans="2:24" ht="13" x14ac:dyDescent="0.3"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</row>
    <row r="804" spans="2:24" ht="13" x14ac:dyDescent="0.3"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</row>
    <row r="805" spans="2:24" ht="13" x14ac:dyDescent="0.3"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</row>
    <row r="806" spans="2:24" ht="13" x14ac:dyDescent="0.3"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</row>
    <row r="807" spans="2:24" ht="13" x14ac:dyDescent="0.3"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</row>
    <row r="808" spans="2:24" ht="13" x14ac:dyDescent="0.3"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</row>
    <row r="809" spans="2:24" ht="13" x14ac:dyDescent="0.3"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</row>
    <row r="810" spans="2:24" ht="13" x14ac:dyDescent="0.3"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</row>
    <row r="811" spans="2:24" ht="13" x14ac:dyDescent="0.3"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</row>
    <row r="812" spans="2:24" ht="13" x14ac:dyDescent="0.3"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</row>
    <row r="813" spans="2:24" ht="13" x14ac:dyDescent="0.3"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</row>
    <row r="814" spans="2:24" ht="13" x14ac:dyDescent="0.3"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</row>
    <row r="815" spans="2:24" ht="13" x14ac:dyDescent="0.3"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</row>
    <row r="816" spans="2:24" ht="13" x14ac:dyDescent="0.3"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</row>
    <row r="817" spans="2:24" ht="13" x14ac:dyDescent="0.3"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</row>
    <row r="818" spans="2:24" ht="13" x14ac:dyDescent="0.3"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</row>
    <row r="819" spans="2:24" ht="13" x14ac:dyDescent="0.3"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</row>
    <row r="820" spans="2:24" ht="13" x14ac:dyDescent="0.3"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</row>
    <row r="821" spans="2:24" ht="13" x14ac:dyDescent="0.3"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</row>
    <row r="822" spans="2:24" ht="13" x14ac:dyDescent="0.3"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</row>
    <row r="823" spans="2:24" ht="13" x14ac:dyDescent="0.3"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</row>
    <row r="824" spans="2:24" ht="13" x14ac:dyDescent="0.3"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</row>
    <row r="825" spans="2:24" ht="13" x14ac:dyDescent="0.3"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</row>
    <row r="826" spans="2:24" ht="13" x14ac:dyDescent="0.3"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</row>
    <row r="827" spans="2:24" ht="13" x14ac:dyDescent="0.3"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</row>
    <row r="828" spans="2:24" ht="13" x14ac:dyDescent="0.3"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</row>
    <row r="829" spans="2:24" ht="13" x14ac:dyDescent="0.3"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</row>
    <row r="830" spans="2:24" ht="13" x14ac:dyDescent="0.3"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</row>
    <row r="831" spans="2:24" ht="13" x14ac:dyDescent="0.3"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</row>
    <row r="832" spans="2:24" ht="13" x14ac:dyDescent="0.3"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</row>
    <row r="833" spans="2:24" ht="13" x14ac:dyDescent="0.3"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</row>
    <row r="834" spans="2:24" ht="13" x14ac:dyDescent="0.3"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</row>
    <row r="835" spans="2:24" ht="13" x14ac:dyDescent="0.3"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</row>
    <row r="836" spans="2:24" ht="13" x14ac:dyDescent="0.3"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</row>
    <row r="837" spans="2:24" ht="13" x14ac:dyDescent="0.3"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</row>
    <row r="838" spans="2:24" ht="13" x14ac:dyDescent="0.3"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</row>
    <row r="839" spans="2:24" ht="13" x14ac:dyDescent="0.3"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</row>
    <row r="840" spans="2:24" ht="13" x14ac:dyDescent="0.3"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</row>
    <row r="841" spans="2:24" ht="13" x14ac:dyDescent="0.3"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</row>
    <row r="842" spans="2:24" ht="13" x14ac:dyDescent="0.3"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</row>
    <row r="843" spans="2:24" ht="13" x14ac:dyDescent="0.3"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</row>
    <row r="844" spans="2:24" ht="13" x14ac:dyDescent="0.3"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</row>
    <row r="845" spans="2:24" ht="13" x14ac:dyDescent="0.3"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</row>
    <row r="846" spans="2:24" ht="13" x14ac:dyDescent="0.3"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</row>
    <row r="847" spans="2:24" ht="13" x14ac:dyDescent="0.3"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</row>
    <row r="848" spans="2:24" ht="13" x14ac:dyDescent="0.3"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</row>
    <row r="849" spans="2:24" ht="13" x14ac:dyDescent="0.3"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</row>
    <row r="850" spans="2:24" ht="13" x14ac:dyDescent="0.3"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</row>
    <row r="851" spans="2:24" ht="13" x14ac:dyDescent="0.3"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</row>
    <row r="852" spans="2:24" ht="13" x14ac:dyDescent="0.3"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</row>
    <row r="853" spans="2:24" ht="13" x14ac:dyDescent="0.3"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</row>
    <row r="854" spans="2:24" ht="13" x14ac:dyDescent="0.3"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</row>
    <row r="855" spans="2:24" ht="13" x14ac:dyDescent="0.3"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</row>
    <row r="856" spans="2:24" ht="13" x14ac:dyDescent="0.3"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</row>
    <row r="857" spans="2:24" ht="13" x14ac:dyDescent="0.3"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</row>
    <row r="858" spans="2:24" ht="13" x14ac:dyDescent="0.3"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</row>
    <row r="859" spans="2:24" ht="13" x14ac:dyDescent="0.3"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</row>
    <row r="860" spans="2:24" ht="13" x14ac:dyDescent="0.3"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</row>
    <row r="861" spans="2:24" ht="13" x14ac:dyDescent="0.3"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</row>
    <row r="862" spans="2:24" ht="13" x14ac:dyDescent="0.3"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</row>
    <row r="863" spans="2:24" ht="13" x14ac:dyDescent="0.3"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</row>
    <row r="864" spans="2:24" ht="13" x14ac:dyDescent="0.3"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</row>
    <row r="865" spans="2:24" ht="13" x14ac:dyDescent="0.3"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</row>
    <row r="866" spans="2:24" ht="13" x14ac:dyDescent="0.3"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</row>
    <row r="867" spans="2:24" ht="13" x14ac:dyDescent="0.3"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</row>
    <row r="868" spans="2:24" ht="13" x14ac:dyDescent="0.3"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</row>
    <row r="869" spans="2:24" ht="13" x14ac:dyDescent="0.3"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</row>
    <row r="870" spans="2:24" ht="13" x14ac:dyDescent="0.3"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</row>
    <row r="871" spans="2:24" ht="13" x14ac:dyDescent="0.3"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</row>
    <row r="872" spans="2:24" ht="13" x14ac:dyDescent="0.3"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</row>
    <row r="873" spans="2:24" ht="13" x14ac:dyDescent="0.3"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</row>
    <row r="874" spans="2:24" ht="13" x14ac:dyDescent="0.3"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</row>
    <row r="875" spans="2:24" ht="13" x14ac:dyDescent="0.3"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</row>
    <row r="876" spans="2:24" ht="13" x14ac:dyDescent="0.3"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</row>
    <row r="877" spans="2:24" ht="13" x14ac:dyDescent="0.3"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</row>
    <row r="878" spans="2:24" ht="13" x14ac:dyDescent="0.3"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</row>
    <row r="879" spans="2:24" ht="13" x14ac:dyDescent="0.3"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</row>
    <row r="880" spans="2:24" ht="13" x14ac:dyDescent="0.3"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</row>
    <row r="881" spans="2:24" ht="13" x14ac:dyDescent="0.3"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</row>
    <row r="882" spans="2:24" ht="13" x14ac:dyDescent="0.3"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</row>
    <row r="883" spans="2:24" ht="13" x14ac:dyDescent="0.3"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</row>
    <row r="884" spans="2:24" ht="13" x14ac:dyDescent="0.3"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</row>
    <row r="885" spans="2:24" ht="13" x14ac:dyDescent="0.3"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</row>
    <row r="886" spans="2:24" ht="13" x14ac:dyDescent="0.3"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</row>
    <row r="887" spans="2:24" ht="13" x14ac:dyDescent="0.3"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</row>
    <row r="888" spans="2:24" ht="13" x14ac:dyDescent="0.3"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</row>
    <row r="889" spans="2:24" ht="13" x14ac:dyDescent="0.3"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</row>
    <row r="890" spans="2:24" ht="13" x14ac:dyDescent="0.3"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</row>
    <row r="891" spans="2:24" ht="13" x14ac:dyDescent="0.3"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</row>
    <row r="892" spans="2:24" ht="13" x14ac:dyDescent="0.3"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</row>
    <row r="893" spans="2:24" ht="13" x14ac:dyDescent="0.3"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</row>
    <row r="894" spans="2:24" ht="13" x14ac:dyDescent="0.3"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</row>
    <row r="895" spans="2:24" ht="13" x14ac:dyDescent="0.3"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</row>
    <row r="896" spans="2:24" ht="13" x14ac:dyDescent="0.3"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</row>
    <row r="897" spans="2:24" ht="13" x14ac:dyDescent="0.3"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</row>
    <row r="898" spans="2:24" ht="13" x14ac:dyDescent="0.3"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</row>
    <row r="899" spans="2:24" ht="13" x14ac:dyDescent="0.3"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</row>
    <row r="900" spans="2:24" ht="13" x14ac:dyDescent="0.3"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</row>
    <row r="901" spans="2:24" ht="13" x14ac:dyDescent="0.3"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</row>
    <row r="902" spans="2:24" ht="13" x14ac:dyDescent="0.3"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</row>
    <row r="903" spans="2:24" ht="13" x14ac:dyDescent="0.3"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</row>
    <row r="904" spans="2:24" ht="13" x14ac:dyDescent="0.3"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</row>
    <row r="905" spans="2:24" ht="13" x14ac:dyDescent="0.3"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</row>
    <row r="906" spans="2:24" ht="13" x14ac:dyDescent="0.3"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</row>
    <row r="907" spans="2:24" ht="13" x14ac:dyDescent="0.3"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</row>
    <row r="908" spans="2:24" ht="13" x14ac:dyDescent="0.3"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</row>
    <row r="909" spans="2:24" ht="13" x14ac:dyDescent="0.3"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</row>
    <row r="910" spans="2:24" ht="13" x14ac:dyDescent="0.3"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</row>
    <row r="911" spans="2:24" ht="13" x14ac:dyDescent="0.3"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</row>
    <row r="912" spans="2:24" ht="13" x14ac:dyDescent="0.3"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</row>
    <row r="913" spans="2:24" ht="13" x14ac:dyDescent="0.3"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</row>
    <row r="914" spans="2:24" ht="13" x14ac:dyDescent="0.3"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</row>
    <row r="915" spans="2:24" ht="13" x14ac:dyDescent="0.3"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</row>
    <row r="916" spans="2:24" ht="13" x14ac:dyDescent="0.3"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</row>
    <row r="917" spans="2:24" ht="13" x14ac:dyDescent="0.3"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</row>
    <row r="918" spans="2:24" ht="13" x14ac:dyDescent="0.3"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</row>
    <row r="919" spans="2:24" ht="13" x14ac:dyDescent="0.3"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</row>
    <row r="920" spans="2:24" ht="13" x14ac:dyDescent="0.3"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</row>
    <row r="921" spans="2:24" ht="13" x14ac:dyDescent="0.3"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</row>
    <row r="922" spans="2:24" ht="13" x14ac:dyDescent="0.3"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</row>
    <row r="923" spans="2:24" ht="13" x14ac:dyDescent="0.3"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</row>
    <row r="924" spans="2:24" ht="13" x14ac:dyDescent="0.3"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</row>
    <row r="925" spans="2:24" ht="13" x14ac:dyDescent="0.3"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</row>
    <row r="926" spans="2:24" ht="13" x14ac:dyDescent="0.3"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</row>
    <row r="927" spans="2:24" ht="13" x14ac:dyDescent="0.3"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</row>
    <row r="928" spans="2:24" ht="13" x14ac:dyDescent="0.3"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</row>
    <row r="929" spans="2:24" ht="13" x14ac:dyDescent="0.3"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</row>
    <row r="930" spans="2:24" ht="13" x14ac:dyDescent="0.3"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</row>
    <row r="931" spans="2:24" ht="13" x14ac:dyDescent="0.3"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</row>
    <row r="932" spans="2:24" ht="13" x14ac:dyDescent="0.3"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</row>
    <row r="933" spans="2:24" ht="13" x14ac:dyDescent="0.3"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</row>
    <row r="934" spans="2:24" ht="13" x14ac:dyDescent="0.3"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</row>
    <row r="935" spans="2:24" ht="13" x14ac:dyDescent="0.3"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</row>
    <row r="936" spans="2:24" ht="13" x14ac:dyDescent="0.3"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</row>
    <row r="937" spans="2:24" ht="13" x14ac:dyDescent="0.3"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</row>
    <row r="938" spans="2:24" ht="13" x14ac:dyDescent="0.3"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</row>
    <row r="939" spans="2:24" ht="13" x14ac:dyDescent="0.3"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</row>
    <row r="940" spans="2:24" ht="13" x14ac:dyDescent="0.3"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</row>
    <row r="941" spans="2:24" ht="13" x14ac:dyDescent="0.3"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</row>
    <row r="942" spans="2:24" ht="13" x14ac:dyDescent="0.3"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</row>
    <row r="943" spans="2:24" ht="13" x14ac:dyDescent="0.3"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</row>
    <row r="944" spans="2:24" ht="13" x14ac:dyDescent="0.3"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</row>
    <row r="945" spans="2:24" ht="13" x14ac:dyDescent="0.3"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</row>
    <row r="946" spans="2:24" ht="13" x14ac:dyDescent="0.3"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</row>
    <row r="947" spans="2:24" ht="13" x14ac:dyDescent="0.3"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</row>
    <row r="948" spans="2:24" ht="13" x14ac:dyDescent="0.3"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</row>
    <row r="949" spans="2:24" ht="13" x14ac:dyDescent="0.3"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</row>
    <row r="950" spans="2:24" ht="13" x14ac:dyDescent="0.3"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</row>
    <row r="951" spans="2:24" ht="13" x14ac:dyDescent="0.3"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</row>
    <row r="952" spans="2:24" ht="13" x14ac:dyDescent="0.3"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</row>
    <row r="953" spans="2:24" ht="13" x14ac:dyDescent="0.3"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</row>
    <row r="954" spans="2:24" ht="13" x14ac:dyDescent="0.3"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</row>
    <row r="955" spans="2:24" ht="13" x14ac:dyDescent="0.3"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</row>
    <row r="956" spans="2:24" ht="13" x14ac:dyDescent="0.3"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</row>
    <row r="957" spans="2:24" ht="13" x14ac:dyDescent="0.3"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</row>
    <row r="958" spans="2:24" ht="13" x14ac:dyDescent="0.3"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</row>
    <row r="959" spans="2:24" ht="13" x14ac:dyDescent="0.3"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</row>
    <row r="960" spans="2:24" ht="13" x14ac:dyDescent="0.3"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</row>
    <row r="961" spans="2:24" ht="13" x14ac:dyDescent="0.3"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</row>
    <row r="962" spans="2:24" ht="13" x14ac:dyDescent="0.3"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</row>
    <row r="963" spans="2:24" ht="13" x14ac:dyDescent="0.3"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</row>
    <row r="964" spans="2:24" ht="13" x14ac:dyDescent="0.3"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</row>
    <row r="965" spans="2:24" ht="13" x14ac:dyDescent="0.3"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</row>
    <row r="966" spans="2:24" ht="13" x14ac:dyDescent="0.3"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</row>
    <row r="967" spans="2:24" ht="13" x14ac:dyDescent="0.3"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</row>
    <row r="968" spans="2:24" ht="13" x14ac:dyDescent="0.3"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</row>
    <row r="969" spans="2:24" ht="13" x14ac:dyDescent="0.3"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</row>
    <row r="970" spans="2:24" ht="13" x14ac:dyDescent="0.3"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</row>
    <row r="971" spans="2:24" ht="13" x14ac:dyDescent="0.3"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</row>
    <row r="972" spans="2:24" ht="13" x14ac:dyDescent="0.3"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</row>
    <row r="973" spans="2:24" ht="13" x14ac:dyDescent="0.3"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</row>
    <row r="974" spans="2:24" ht="13" x14ac:dyDescent="0.3"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</row>
    <row r="975" spans="2:24" ht="13" x14ac:dyDescent="0.3"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</row>
    <row r="976" spans="2:24" ht="13" x14ac:dyDescent="0.3"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</row>
    <row r="977" spans="2:24" ht="13" x14ac:dyDescent="0.3"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</row>
    <row r="978" spans="2:24" ht="13" x14ac:dyDescent="0.3"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</row>
    <row r="979" spans="2:24" ht="13" x14ac:dyDescent="0.3"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</row>
    <row r="980" spans="2:24" ht="13" x14ac:dyDescent="0.3"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</row>
    <row r="981" spans="2:24" ht="13" x14ac:dyDescent="0.3"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</row>
    <row r="982" spans="2:24" ht="13" x14ac:dyDescent="0.3"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</row>
    <row r="983" spans="2:24" ht="13" x14ac:dyDescent="0.3"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</row>
    <row r="984" spans="2:24" ht="13" x14ac:dyDescent="0.3"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</row>
    <row r="985" spans="2:24" ht="13" x14ac:dyDescent="0.3"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</row>
    <row r="986" spans="2:24" ht="13" x14ac:dyDescent="0.3"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</row>
    <row r="987" spans="2:24" ht="13" x14ac:dyDescent="0.3"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</row>
    <row r="988" spans="2:24" ht="13" x14ac:dyDescent="0.3"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</row>
    <row r="989" spans="2:24" ht="13" x14ac:dyDescent="0.3"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</row>
    <row r="990" spans="2:24" ht="13" x14ac:dyDescent="0.3"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</row>
    <row r="991" spans="2:24" ht="13" x14ac:dyDescent="0.3"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</row>
    <row r="992" spans="2:24" ht="13" x14ac:dyDescent="0.3"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</row>
    <row r="993" spans="2:24" ht="13" x14ac:dyDescent="0.3"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</row>
    <row r="994" spans="2:24" ht="13" x14ac:dyDescent="0.3"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</row>
    <row r="995" spans="2:24" ht="13" x14ac:dyDescent="0.3"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</row>
    <row r="996" spans="2:24" ht="13" x14ac:dyDescent="0.3"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</row>
    <row r="997" spans="2:24" ht="13" x14ac:dyDescent="0.3"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</row>
    <row r="998" spans="2:24" ht="13" x14ac:dyDescent="0.3"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</row>
    <row r="999" spans="2:24" ht="13" x14ac:dyDescent="0.3"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</row>
    <row r="1000" spans="2:24" ht="13" x14ac:dyDescent="0.3"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</row>
    <row r="1001" spans="2:24" ht="13" x14ac:dyDescent="0.3"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</row>
    <row r="1002" spans="2:24" ht="13" x14ac:dyDescent="0.3"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</row>
  </sheetData>
  <mergeCells count="3">
    <mergeCell ref="E2:F2"/>
    <mergeCell ref="B2:D2"/>
    <mergeCell ref="D3:D5"/>
  </mergeCells>
  <conditionalFormatting sqref="C5">
    <cfRule type="colorScale" priority="1">
      <colorScale>
        <cfvo type="formula" val="30%"/>
        <cfvo type="formula" val="40%"/>
        <cfvo type="formula" val="50%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8"/>
  <sheetViews>
    <sheetView tabSelected="1" workbookViewId="0">
      <selection activeCell="D12" sqref="D12"/>
    </sheetView>
  </sheetViews>
  <sheetFormatPr defaultRowHeight="14.5" x14ac:dyDescent="0.35"/>
  <cols>
    <col min="1" max="1" width="5.36328125" customWidth="1"/>
    <col min="2" max="2" width="17" customWidth="1"/>
    <col min="3" max="3" width="13.90625" customWidth="1"/>
    <col min="4" max="4" width="14.08984375" customWidth="1"/>
    <col min="5" max="5" width="7.90625" style="1" customWidth="1"/>
    <col min="6" max="6" width="11.90625" customWidth="1"/>
    <col min="7" max="7" width="12.08984375" customWidth="1"/>
    <col min="8" max="8" width="12.08984375" style="1" customWidth="1"/>
    <col min="9" max="9" width="15" customWidth="1"/>
  </cols>
  <sheetData>
    <row r="2" spans="2:9" ht="15" thickBot="1" x14ac:dyDescent="0.4"/>
    <row r="3" spans="2:9" ht="30.5" customHeight="1" thickBot="1" x14ac:dyDescent="0.4">
      <c r="B3" s="14" t="s">
        <v>2</v>
      </c>
      <c r="C3" s="15" t="s">
        <v>6</v>
      </c>
      <c r="D3" s="15" t="s">
        <v>10</v>
      </c>
      <c r="E3" s="16" t="s">
        <v>0</v>
      </c>
      <c r="F3" s="16" t="s">
        <v>3</v>
      </c>
      <c r="G3" s="17" t="s">
        <v>4</v>
      </c>
      <c r="H3" s="17" t="s">
        <v>7</v>
      </c>
      <c r="I3" s="17" t="s">
        <v>5</v>
      </c>
    </row>
    <row r="4" spans="2:9" x14ac:dyDescent="0.35">
      <c r="B4" s="7" t="s">
        <v>11</v>
      </c>
      <c r="C4" s="10">
        <v>666059</v>
      </c>
      <c r="D4" s="10">
        <v>45347</v>
      </c>
      <c r="E4" s="4" t="s">
        <v>1</v>
      </c>
      <c r="F4" s="10">
        <v>8953</v>
      </c>
      <c r="G4" s="12">
        <v>0.13</v>
      </c>
      <c r="H4" s="11" t="s">
        <v>8</v>
      </c>
      <c r="I4" s="8"/>
    </row>
    <row r="5" spans="2:9" x14ac:dyDescent="0.35">
      <c r="B5" s="5"/>
      <c r="C5" s="3"/>
      <c r="D5" s="3"/>
      <c r="E5" s="2"/>
      <c r="F5" s="3"/>
      <c r="G5" s="13"/>
      <c r="H5" s="6"/>
      <c r="I5" s="9"/>
    </row>
    <row r="6" spans="2:9" x14ac:dyDescent="0.35">
      <c r="B6" s="5"/>
      <c r="C6" s="3"/>
      <c r="D6" s="3"/>
      <c r="E6" s="2"/>
      <c r="F6" s="3"/>
      <c r="G6" s="13"/>
      <c r="H6" s="6"/>
      <c r="I6" s="9"/>
    </row>
    <row r="7" spans="2:9" x14ac:dyDescent="0.35">
      <c r="B7" s="5"/>
      <c r="C7" s="3"/>
      <c r="D7" s="3"/>
      <c r="E7" s="2"/>
      <c r="F7" s="3"/>
      <c r="G7" s="13"/>
      <c r="H7" s="6"/>
      <c r="I7" s="9"/>
    </row>
    <row r="8" spans="2:9" ht="15" thickBot="1" x14ac:dyDescent="0.4">
      <c r="B8" s="18" t="s">
        <v>9</v>
      </c>
      <c r="C8" s="19"/>
      <c r="D8" s="19">
        <f>SUM(D4:D7)</f>
        <v>45347</v>
      </c>
      <c r="E8" s="20"/>
      <c r="F8" s="19"/>
      <c r="G8" s="21"/>
      <c r="H8" s="22"/>
      <c r="I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Моя долговая нагрузка</vt:lpstr>
      <vt:lpstr>Обязательства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Макаров</dc:creator>
  <cp:lastModifiedBy>Мария Шелемовец</cp:lastModifiedBy>
  <dcterms:created xsi:type="dcterms:W3CDTF">2017-08-11T14:19:50Z</dcterms:created>
  <dcterms:modified xsi:type="dcterms:W3CDTF">2024-03-10T11:36:37Z</dcterms:modified>
</cp:coreProperties>
</file>