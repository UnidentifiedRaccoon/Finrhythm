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2"/>
  </bookViews>
  <sheets>
    <sheet name="Активы" sheetId="1" state="visible" r:id="rId2"/>
    <sheet name="Обязательства" sheetId="2" state="visible" r:id="rId3"/>
    <sheet name="Баланс" sheetId="3" state="visible" r:id="rId4"/>
  </sheets>
  <externalReferences>
    <externalReference r:id="rId1"/>
  </externalReferences>
  <definedNames>
    <definedName name="currency">'[1]src'!$N$1:$N$5</definedName>
    <definedName name="month">'[1]src'!$B$1:$B$13</definedName>
    <definedName name="year">'[1]src'!$E$1:$E$86</definedName>
  </definedNames>
  <calcPr/>
</workbook>
</file>

<file path=xl/sharedStrings.xml><?xml version="1.0" encoding="utf-8"?>
<sst xmlns="http://schemas.openxmlformats.org/spreadsheetml/2006/main" count="27" uniqueCount="27">
  <si>
    <t>Актив</t>
  </si>
  <si>
    <t xml:space="preserve">Владелец актива</t>
  </si>
  <si>
    <t>Стоимость</t>
  </si>
  <si>
    <t>Валюта</t>
  </si>
  <si>
    <t xml:space="preserve">Накопительный счёт</t>
  </si>
  <si>
    <t>общий</t>
  </si>
  <si>
    <t>рубли</t>
  </si>
  <si>
    <t xml:space="preserve">Копилка лечение</t>
  </si>
  <si>
    <t>Маша</t>
  </si>
  <si>
    <t xml:space="preserve">Копилка обучение</t>
  </si>
  <si>
    <t>ИТОГО</t>
  </si>
  <si>
    <t xml:space="preserve">Вид обязательства</t>
  </si>
  <si>
    <t xml:space="preserve">Начальная сумма долга</t>
  </si>
  <si>
    <t xml:space="preserve">Текущая сумма долга</t>
  </si>
  <si>
    <t xml:space="preserve">Регулярный платеж</t>
  </si>
  <si>
    <t xml:space="preserve">Процентная ставка</t>
  </si>
  <si>
    <t xml:space="preserve">Общий срок кредита</t>
  </si>
  <si>
    <t xml:space="preserve">Плановая дата погашения</t>
  </si>
  <si>
    <t xml:space="preserve">Потреб. кредит </t>
  </si>
  <si>
    <t xml:space="preserve">5 лет</t>
  </si>
  <si>
    <t xml:space="preserve">23 июля 2024 г</t>
  </si>
  <si>
    <t xml:space="preserve">ИТОГО НА ДАННЫЙ МОМЕНТ</t>
  </si>
  <si>
    <t xml:space="preserve">АКТИВ баланса</t>
  </si>
  <si>
    <t xml:space="preserve">ПАССИВ баланса</t>
  </si>
  <si>
    <t xml:space="preserve">Потреб. кредит</t>
  </si>
  <si>
    <t xml:space="preserve">Итого, обязательства</t>
  </si>
  <si>
    <t xml:space="preserve">Собственный капитал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</si>
</sst>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0" formatCode="_-* #,##0.00\ &quot;₽&quot;_-;\-* #,##0.00\ &quot;₽&quot;_-;_-* &quot;-&quot;??\ &quot;₽&quot;_-;_-@_-"/>
    <numFmt numFmtId="161" formatCode="_-* #,##0\ &quot;₽&quot;_-;\-* #,##0\ &quot;₽&quot;_-;_-* &quot;-&quot;??\ &quot;₽&quot;_-;_-@_-"/>
    <numFmt numFmtId="162" formatCode="0.0%"/>
  </numFmts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4.000000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8" tint="0.59999389629810485"/>
        <bgColor theme="8" tint="0.59999389629810485"/>
      </patternFill>
    </fill>
  </fills>
  <borders count="20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none"/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</borders>
  <cellStyleXfs count="3">
    <xf fontId="0" fillId="0" borderId="0" numFmtId="0" applyNumberFormat="1" applyFont="1" applyFill="1" applyBorder="1"/>
    <xf fontId="0" fillId="0" borderId="0" numFmtId="160" applyNumberFormat="1" applyFont="0" applyFill="0" applyBorder="0" applyProtection="0"/>
    <xf fontId="0" fillId="0" borderId="0" numFmtId="9" applyNumberFormat="1" applyFont="0" applyFill="0" applyBorder="0" applyProtection="0"/>
  </cellStyleXfs>
  <cellXfs count="52">
    <xf fontId="0" fillId="0" borderId="0" numFmtId="0" xfId="0"/>
    <xf fontId="0" fillId="0" borderId="0" numFmtId="0" xfId="0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1" fillId="2" borderId="2" numFmtId="0" xfId="0" applyFont="1" applyFill="1" applyBorder="1" applyAlignment="1">
      <alignment horizontal="center" vertical="center"/>
    </xf>
    <xf fontId="0" fillId="0" borderId="3" numFmtId="0" xfId="0" applyBorder="1"/>
    <xf fontId="0" fillId="0" borderId="4" numFmtId="0" xfId="0" applyBorder="1"/>
    <xf fontId="0" fillId="0" borderId="3" numFmtId="161" xfId="1" applyNumberFormat="1" applyBorder="1"/>
    <xf fontId="0" fillId="0" borderId="3" numFmtId="0" xfId="0" applyBorder="1" applyAlignment="1">
      <alignment horizontal="center" vertical="center"/>
    </xf>
    <xf fontId="0" fillId="0" borderId="5" numFmtId="0" xfId="0" applyBorder="1"/>
    <xf fontId="0" fillId="0" borderId="6" numFmtId="0" xfId="0" applyBorder="1"/>
    <xf fontId="0" fillId="0" borderId="5" numFmtId="161" xfId="1" applyNumberFormat="1" applyBorder="1"/>
    <xf fontId="0" fillId="0" borderId="5" numFmtId="0" xfId="0" applyBorder="1" applyAlignment="1">
      <alignment horizontal="center" vertical="center"/>
    </xf>
    <xf fontId="0" fillId="0" borderId="5" numFmtId="0" xfId="0" applyBorder="1" applyAlignment="1">
      <alignment horizontal="center" vertical="center"/>
    </xf>
    <xf fontId="0" fillId="0" borderId="5" numFmtId="0" xfId="0" applyBorder="1"/>
    <xf fontId="0" fillId="0" borderId="6" numFmtId="0" xfId="0" applyBorder="1"/>
    <xf fontId="1" fillId="2" borderId="5" numFmtId="0" xfId="0" applyFont="1" applyFill="1" applyBorder="1"/>
    <xf fontId="1" fillId="2" borderId="6" numFmtId="0" xfId="0" applyFont="1" applyFill="1" applyBorder="1"/>
    <xf fontId="1" fillId="2" borderId="5" numFmtId="161" xfId="1" applyNumberFormat="1" applyFont="1" applyFill="1" applyBorder="1"/>
    <xf fontId="1" fillId="2" borderId="5" numFmtId="0" xfId="0" applyFont="1" applyFill="1" applyBorder="1" applyAlignment="1">
      <alignment horizontal="center" vertical="center"/>
    </xf>
    <xf fontId="1" fillId="3" borderId="7" numFmtId="0" xfId="0" applyFont="1" applyFill="1" applyBorder="1" applyAlignment="1">
      <alignment horizontal="center" vertical="center" wrapText="1"/>
    </xf>
    <xf fontId="1" fillId="3" borderId="8" numFmtId="0" xfId="0" applyFont="1" applyFill="1" applyBorder="1" applyAlignment="1">
      <alignment horizontal="center" vertical="center" wrapText="1"/>
    </xf>
    <xf fontId="1" fillId="3" borderId="9" numFmtId="0" xfId="0" applyFont="1" applyFill="1" applyBorder="1" applyAlignment="1">
      <alignment horizontal="center" vertical="center" wrapText="1"/>
    </xf>
    <xf fontId="1" fillId="3" borderId="10" numFmtId="0" xfId="0" applyFont="1" applyFill="1" applyBorder="1" applyAlignment="1">
      <alignment horizontal="center" vertical="center" wrapText="1"/>
    </xf>
    <xf fontId="0" fillId="0" borderId="11" numFmtId="0" xfId="0" applyBorder="1"/>
    <xf fontId="0" fillId="0" borderId="12" numFmtId="161" xfId="1" applyNumberFormat="1" applyBorder="1"/>
    <xf fontId="0" fillId="0" borderId="12" numFmtId="0" xfId="0" applyBorder="1" applyAlignment="1">
      <alignment horizontal="center" vertical="center"/>
    </xf>
    <xf fontId="0" fillId="0" borderId="12" numFmtId="162" xfId="2" applyNumberFormat="1" applyBorder="1"/>
    <xf fontId="0" fillId="0" borderId="13" numFmtId="0" xfId="0" applyBorder="1" applyAlignment="1">
      <alignment horizontal="center" vertical="center"/>
    </xf>
    <xf fontId="0" fillId="0" borderId="14" numFmtId="0" xfId="0" applyBorder="1"/>
    <xf fontId="0" fillId="0" borderId="12" numFmtId="9" xfId="2" applyNumberFormat="1" applyBorder="1"/>
    <xf fontId="0" fillId="0" borderId="14" numFmtId="0" xfId="0" applyBorder="1"/>
    <xf fontId="0" fillId="3" borderId="15" numFmtId="0" xfId="0" applyFill="1" applyBorder="1"/>
    <xf fontId="0" fillId="3" borderId="1" numFmtId="161" xfId="1" applyNumberFormat="1" applyFill="1" applyBorder="1"/>
    <xf fontId="0" fillId="3" borderId="1" numFmtId="0" xfId="0" applyFill="1" applyBorder="1" applyAlignment="1">
      <alignment horizontal="center" vertical="center"/>
    </xf>
    <xf fontId="0" fillId="3" borderId="1" numFmtId="9" xfId="2" applyNumberFormat="1" applyFill="1" applyBorder="1"/>
    <xf fontId="0" fillId="3" borderId="16" numFmtId="0" xfId="0" applyFill="1" applyBorder="1" applyAlignment="1">
      <alignment horizontal="center" vertical="center"/>
    </xf>
    <xf fontId="0" fillId="3" borderId="17" numFmtId="0" xfId="0" applyFill="1" applyBorder="1"/>
    <xf fontId="1" fillId="4" borderId="5" numFmtId="0" xfId="0" applyFont="1" applyFill="1" applyBorder="1" applyAlignment="1">
      <alignment horizontal="center"/>
    </xf>
    <xf fontId="1" fillId="5" borderId="5" numFmtId="0" xfId="0" applyFont="1" applyFill="1" applyBorder="1" applyAlignment="1">
      <alignment horizontal="center"/>
    </xf>
    <xf fontId="0" fillId="2" borderId="5" numFmtId="0" xfId="0" applyFill="1" applyBorder="1"/>
    <xf fontId="0" fillId="2" borderId="5" numFmtId="161" xfId="1" applyNumberFormat="1" applyFill="1" applyBorder="1"/>
    <xf fontId="0" fillId="3" borderId="5" numFmtId="0" xfId="0" applyFill="1" applyBorder="1"/>
    <xf fontId="0" fillId="3" borderId="5" numFmtId="161" xfId="1" applyNumberFormat="1" applyFill="1" applyBorder="1"/>
    <xf fontId="0" fillId="3" borderId="5" numFmtId="0" xfId="0" applyFill="1" applyBorder="1"/>
    <xf fontId="0" fillId="3" borderId="18" numFmtId="0" xfId="0" applyFill="1" applyBorder="1" applyAlignment="1">
      <alignment horizontal="center"/>
    </xf>
    <xf fontId="0" fillId="3" borderId="6" numFmtId="0" xfId="0" applyFill="1" applyBorder="1" applyAlignment="1">
      <alignment horizontal="center"/>
    </xf>
    <xf fontId="1" fillId="6" borderId="19" numFmtId="0" xfId="0" applyFont="1" applyFill="1" applyBorder="1" applyAlignment="1">
      <alignment horizontal="center" vertical="center"/>
    </xf>
    <xf fontId="2" fillId="6" borderId="19" numFmtId="161" xfId="1" applyNumberFormat="1" applyFont="1" applyFill="1" applyBorder="1" applyAlignment="1">
      <alignment horizontal="center" vertical="center"/>
    </xf>
    <xf fontId="1" fillId="6" borderId="3" numFmtId="0" xfId="0" applyFont="1" applyFill="1" applyBorder="1" applyAlignment="1">
      <alignment horizontal="center" vertical="center"/>
    </xf>
    <xf fontId="2" fillId="6" borderId="3" numFmtId="161" xfId="1" applyNumberFormat="1" applyFont="1" applyFill="1" applyBorder="1" applyAlignment="1">
      <alignment horizontal="center" vertical="center"/>
    </xf>
    <xf fontId="1" fillId="3" borderId="5" numFmtId="0" xfId="0" applyFont="1" applyFill="1" applyBorder="1"/>
    <xf fontId="1" fillId="3" borderId="5" numFmtId="161" xfId="1" applyNumberFormat="1" applyFont="1" applyFill="1" applyBorder="1"/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7" Type="http://schemas.openxmlformats.org/officeDocument/2006/relationships/styles" Target="styles.xml"/><Relationship  Id="rId6" Type="http://schemas.openxmlformats.org/officeDocument/2006/relationships/sharedStrings" Target="sharedStrings.xml"/><Relationship  Id="rId5" Type="http://schemas.openxmlformats.org/officeDocument/2006/relationships/theme" Target="theme/theme1.xml"/><Relationship  Id="rId4" Type="http://schemas.openxmlformats.org/officeDocument/2006/relationships/worksheet" Target="worksheets/sheet3.xml"/><Relationship  Id="rId3" Type="http://schemas.openxmlformats.org/officeDocument/2006/relationships/worksheet" Target="worksheets/sheet2.xml"/><Relationship  Id="rId2" Type="http://schemas.openxmlformats.org/officeDocument/2006/relationships/worksheet" Target="worksheets/sheet1.xml"/><Relationship  Id="rId1" Type="http://schemas.openxmlformats.org/officeDocument/2006/relationships/externalLink" Target="externalLinks/externalLink1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/OneDrive/0.%20&#1053;&#1086;&#1074;&#1099;&#1081;%20&#1087;&#1088;&#1086;&#1077;&#1082;&#1090;/&#1044;&#1083;&#1103;%20&#1086;&#1085;-&#1083;&#1072;&#1081;&#1085;%20&#1096;&#1082;&#1086;&#1083;&#1099;/&#1046;&#1080;&#1079;&#1085;&#1100;%20&#1074;%20&#1076;&#1086;&#1089;&#1090;&#1072;&#1090;&#1082;&#1077;/&#1044;&#1083;&#1103;%20&#1079;&#1072;&#1087;&#1091;&#1089;&#1082;&#1072;/&#1052;&#1072;&#1090;&#1077;&#1088;&#1080;&#1072;&#1083;&#1099;/FP_v6.5%20(1).xlsb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rtfolio"/>
      <sheetName val="products"/>
      <sheetName val="print"/>
      <sheetName val="анкета"/>
      <sheetName val="PnL1"/>
      <sheetName val="PnL2"/>
      <sheetName val="calc"/>
      <sheetName val="src"/>
      <sheetName val="graph_1"/>
      <sheetName val="graph_2"/>
      <sheetName val="tech#1"/>
      <sheetName val="tech#2"/>
      <sheetName val="tech#3"/>
      <sheetName val="tech#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>
        <row r="2">
          <cell r="B2" t="str">
            <v>январь</v>
          </cell>
          <cell r="E2">
            <v>2016</v>
          </cell>
          <cell r="N2" t="str">
            <v>EUR</v>
          </cell>
        </row>
        <row r="3">
          <cell r="B3" t="str">
            <v>февраль</v>
          </cell>
          <cell r="E3">
            <v>2017</v>
          </cell>
          <cell r="N3" t="str">
            <v>USD</v>
          </cell>
        </row>
        <row r="4">
          <cell r="B4" t="str">
            <v>март</v>
          </cell>
          <cell r="E4">
            <v>2018</v>
          </cell>
          <cell r="N4" t="str">
            <v>GBP</v>
          </cell>
        </row>
        <row r="5">
          <cell r="B5" t="str">
            <v>апрель</v>
          </cell>
          <cell r="E5">
            <v>2019</v>
          </cell>
          <cell r="N5" t="str">
            <v>RUB</v>
          </cell>
        </row>
        <row r="6">
          <cell r="B6" t="str">
            <v>май</v>
          </cell>
          <cell r="E6">
            <v>2020</v>
          </cell>
        </row>
        <row r="7">
          <cell r="B7" t="str">
            <v>июнь</v>
          </cell>
          <cell r="E7">
            <v>2021</v>
          </cell>
        </row>
        <row r="8">
          <cell r="B8" t="str">
            <v>июль</v>
          </cell>
          <cell r="E8">
            <v>2022</v>
          </cell>
        </row>
        <row r="9">
          <cell r="B9" t="str">
            <v>август</v>
          </cell>
          <cell r="E9">
            <v>2023</v>
          </cell>
        </row>
        <row r="10">
          <cell r="B10" t="str">
            <v>сентябрь</v>
          </cell>
          <cell r="E10">
            <v>2024</v>
          </cell>
        </row>
        <row r="11">
          <cell r="B11" t="str">
            <v>октябрь</v>
          </cell>
          <cell r="E11">
            <v>2025</v>
          </cell>
        </row>
        <row r="12">
          <cell r="B12" t="str">
            <v>ноябрь</v>
          </cell>
          <cell r="E12">
            <v>2026</v>
          </cell>
        </row>
        <row r="13">
          <cell r="B13" t="str">
            <v>декабрь</v>
          </cell>
          <cell r="E13">
            <v>2027</v>
          </cell>
        </row>
        <row r="14">
          <cell r="E14">
            <v>2028</v>
          </cell>
        </row>
        <row r="15">
          <cell r="E15">
            <v>2029</v>
          </cell>
        </row>
        <row r="16">
          <cell r="E16">
            <v>2030</v>
          </cell>
        </row>
        <row r="17">
          <cell r="E17">
            <v>2031</v>
          </cell>
        </row>
        <row r="18">
          <cell r="E18">
            <v>2032</v>
          </cell>
        </row>
        <row r="19">
          <cell r="E19">
            <v>2033</v>
          </cell>
        </row>
        <row r="20">
          <cell r="E20">
            <v>2034</v>
          </cell>
        </row>
        <row r="21">
          <cell r="E21">
            <v>2035</v>
          </cell>
        </row>
        <row r="22">
          <cell r="E22">
            <v>2036</v>
          </cell>
        </row>
        <row r="23">
          <cell r="E23">
            <v>2037</v>
          </cell>
        </row>
        <row r="24">
          <cell r="E24">
            <v>2038</v>
          </cell>
        </row>
        <row r="25">
          <cell r="E25">
            <v>2039</v>
          </cell>
        </row>
        <row r="26">
          <cell r="E26">
            <v>2040</v>
          </cell>
        </row>
        <row r="27">
          <cell r="E27">
            <v>2041</v>
          </cell>
        </row>
        <row r="28">
          <cell r="E28">
            <v>2042</v>
          </cell>
        </row>
        <row r="29">
          <cell r="E29">
            <v>2043</v>
          </cell>
        </row>
        <row r="30">
          <cell r="E30">
            <v>2044</v>
          </cell>
        </row>
        <row r="31">
          <cell r="E31">
            <v>2045</v>
          </cell>
        </row>
        <row r="32">
          <cell r="E32">
            <v>2046</v>
          </cell>
        </row>
        <row r="33">
          <cell r="E33">
            <v>2047</v>
          </cell>
        </row>
        <row r="34">
          <cell r="E34">
            <v>2048</v>
          </cell>
        </row>
        <row r="35">
          <cell r="E35">
            <v>2049</v>
          </cell>
        </row>
        <row r="36">
          <cell r="E36">
            <v>2050</v>
          </cell>
        </row>
        <row r="37">
          <cell r="E37">
            <v>2051</v>
          </cell>
        </row>
        <row r="38">
          <cell r="E38">
            <v>2052</v>
          </cell>
        </row>
        <row r="39">
          <cell r="E39">
            <v>2053</v>
          </cell>
        </row>
        <row r="40">
          <cell r="E40">
            <v>2054</v>
          </cell>
        </row>
        <row r="41">
          <cell r="E41">
            <v>2055</v>
          </cell>
        </row>
        <row r="42">
          <cell r="E42">
            <v>2056</v>
          </cell>
        </row>
        <row r="43">
          <cell r="E43">
            <v>2057</v>
          </cell>
        </row>
        <row r="44">
          <cell r="E44">
            <v>2058</v>
          </cell>
        </row>
        <row r="45">
          <cell r="E45">
            <v>2059</v>
          </cell>
        </row>
        <row r="46">
          <cell r="E46">
            <v>2060</v>
          </cell>
        </row>
        <row r="47">
          <cell r="E47">
            <v>2061</v>
          </cell>
        </row>
        <row r="48">
          <cell r="E48">
            <v>2062</v>
          </cell>
        </row>
        <row r="49">
          <cell r="E49">
            <v>2063</v>
          </cell>
        </row>
        <row r="50">
          <cell r="E50">
            <v>2064</v>
          </cell>
        </row>
        <row r="51">
          <cell r="E51">
            <v>2065</v>
          </cell>
        </row>
        <row r="52">
          <cell r="E52">
            <v>2066</v>
          </cell>
        </row>
        <row r="53">
          <cell r="E53">
            <v>2067</v>
          </cell>
        </row>
        <row r="54">
          <cell r="E54">
            <v>2068</v>
          </cell>
        </row>
        <row r="55">
          <cell r="E55">
            <v>2069</v>
          </cell>
        </row>
        <row r="56">
          <cell r="E56">
            <v>2070</v>
          </cell>
        </row>
        <row r="57">
          <cell r="E57">
            <v>2071</v>
          </cell>
        </row>
        <row r="58">
          <cell r="E58">
            <v>2072</v>
          </cell>
        </row>
        <row r="59">
          <cell r="E59">
            <v>2073</v>
          </cell>
        </row>
        <row r="60">
          <cell r="E60">
            <v>2074</v>
          </cell>
        </row>
        <row r="61">
          <cell r="E61">
            <v>2075</v>
          </cell>
        </row>
        <row r="62">
          <cell r="E62">
            <v>2076</v>
          </cell>
        </row>
        <row r="63">
          <cell r="E63">
            <v>2077</v>
          </cell>
        </row>
        <row r="64">
          <cell r="E64">
            <v>2078</v>
          </cell>
        </row>
        <row r="65">
          <cell r="E65">
            <v>2079</v>
          </cell>
        </row>
        <row r="66">
          <cell r="E66">
            <v>2080</v>
          </cell>
        </row>
        <row r="67">
          <cell r="E67">
            <v>2081</v>
          </cell>
        </row>
        <row r="68">
          <cell r="E68">
            <v>2082</v>
          </cell>
        </row>
        <row r="69">
          <cell r="E69">
            <v>2083</v>
          </cell>
        </row>
        <row r="70">
          <cell r="E70">
            <v>2084</v>
          </cell>
        </row>
        <row r="71">
          <cell r="E71">
            <v>2085</v>
          </cell>
        </row>
        <row r="72">
          <cell r="E72">
            <v>2086</v>
          </cell>
        </row>
        <row r="73">
          <cell r="E73">
            <v>2087</v>
          </cell>
        </row>
        <row r="74">
          <cell r="E74">
            <v>2088</v>
          </cell>
        </row>
        <row r="75">
          <cell r="E75">
            <v>2089</v>
          </cell>
        </row>
        <row r="76">
          <cell r="E76">
            <v>2090</v>
          </cell>
        </row>
        <row r="77">
          <cell r="E77">
            <v>2091</v>
          </cell>
        </row>
        <row r="78">
          <cell r="E78">
            <v>2092</v>
          </cell>
        </row>
        <row r="79">
          <cell r="E79">
            <v>2093</v>
          </cell>
        </row>
        <row r="80">
          <cell r="E80">
            <v>2094</v>
          </cell>
        </row>
        <row r="81">
          <cell r="E81">
            <v>2095</v>
          </cell>
        </row>
        <row r="82">
          <cell r="E82">
            <v>2096</v>
          </cell>
        </row>
        <row r="83">
          <cell r="E83">
            <v>2097</v>
          </cell>
        </row>
        <row r="84">
          <cell r="E84">
            <v>2098</v>
          </cell>
        </row>
        <row r="85">
          <cell r="E85">
            <v>2099</v>
          </cell>
        </row>
        <row r="86">
          <cell r="E86">
            <v>2100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10" workbookViewId="0">
      <selection activeCell="B4" activeCellId="0" sqref="B4:B6"/>
    </sheetView>
  </sheetViews>
  <sheetFormatPr defaultRowHeight="14"/>
  <cols>
    <col customWidth="1" min="1" max="1" width="5.33203125"/>
    <col customWidth="1" min="2" max="2" width="20.57421875"/>
    <col customWidth="1" min="3" max="3" width="18.77734375"/>
    <col customWidth="1" min="4" max="4" width="17.21875"/>
    <col customWidth="1" min="5" max="5" style="1" width="12.5546875"/>
  </cols>
  <sheetData>
    <row r="3" ht="35.549999999999997" customHeight="1">
      <c r="B3" s="2" t="s">
        <v>0</v>
      </c>
      <c r="C3" s="3" t="s">
        <v>1</v>
      </c>
      <c r="D3" s="2" t="s">
        <v>2</v>
      </c>
      <c r="E3" s="2" t="s">
        <v>3</v>
      </c>
    </row>
    <row r="4" ht="14">
      <c r="B4" s="4" t="s">
        <v>4</v>
      </c>
      <c r="C4" s="5" t="s">
        <v>5</v>
      </c>
      <c r="D4" s="6">
        <v>32000</v>
      </c>
      <c r="E4" s="7" t="s">
        <v>6</v>
      </c>
    </row>
    <row r="5" ht="14">
      <c r="B5" s="8" t="s">
        <v>7</v>
      </c>
      <c r="C5" s="9" t="s">
        <v>8</v>
      </c>
      <c r="D5" s="10">
        <v>15000</v>
      </c>
      <c r="E5" s="11" t="s">
        <v>6</v>
      </c>
    </row>
    <row r="6" ht="14">
      <c r="B6" s="8" t="s">
        <v>9</v>
      </c>
      <c r="C6" s="9" t="s">
        <v>8</v>
      </c>
      <c r="D6" s="10">
        <v>30000</v>
      </c>
      <c r="E6" s="12" t="s">
        <v>6</v>
      </c>
    </row>
    <row r="7" ht="14">
      <c r="B7" s="13"/>
      <c r="C7" s="14"/>
      <c r="D7" s="10"/>
      <c r="E7" s="11"/>
    </row>
    <row r="8">
      <c r="B8" s="15" t="s">
        <v>10</v>
      </c>
      <c r="C8" s="16"/>
      <c r="D8" s="17">
        <f>SUM(D4:D7)</f>
        <v>77000</v>
      </c>
      <c r="E8" s="18"/>
    </row>
    <row r="9" ht="14">
      <c r="E9" s="1"/>
    </row>
    <row r="10" ht="14">
      <c r="E10" s="1"/>
    </row>
    <row r="11" ht="14">
      <c r="E11" s="1"/>
    </row>
    <row r="12" ht="14">
      <c r="E12" s="1"/>
    </row>
    <row r="13" ht="14">
      <c r="E13" s="1"/>
    </row>
    <row r="14" ht="14">
      <c r="E14" s="1"/>
    </row>
    <row r="15" ht="14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15" activeCellId="0" sqref="G15"/>
    </sheetView>
  </sheetViews>
  <sheetFormatPr defaultRowHeight="14"/>
  <cols>
    <col customWidth="1" min="1" max="1" width="5.33203125"/>
    <col bestFit="1" customWidth="1" min="2" max="2" width="26.6640625"/>
    <col customWidth="1" min="3" max="3" width="13.88671875"/>
    <col customWidth="1" min="4" max="4" width="14.109375"/>
    <col customWidth="1" min="5" max="5" style="1" width="7.88671875"/>
    <col customWidth="1" min="6" max="6" width="11.88671875"/>
    <col customWidth="1" min="7" max="7" width="12.109375"/>
    <col customWidth="1" min="8" max="8" style="1" width="12.109375"/>
    <col customWidth="1" min="9" max="9" width="15"/>
  </cols>
  <sheetData>
    <row r="2" ht="15"/>
    <row r="3" ht="30.449999999999999" customHeight="1">
      <c r="B3" s="19" t="s">
        <v>11</v>
      </c>
      <c r="C3" s="20" t="s">
        <v>12</v>
      </c>
      <c r="D3" s="20" t="s">
        <v>13</v>
      </c>
      <c r="E3" s="21" t="s">
        <v>3</v>
      </c>
      <c r="F3" s="21" t="s">
        <v>14</v>
      </c>
      <c r="G3" s="22" t="s">
        <v>15</v>
      </c>
      <c r="H3" s="22" t="s">
        <v>16</v>
      </c>
      <c r="I3" s="22" t="s">
        <v>17</v>
      </c>
    </row>
    <row r="4" ht="14">
      <c r="B4" s="23" t="s">
        <v>18</v>
      </c>
      <c r="C4" s="24">
        <v>666059</v>
      </c>
      <c r="D4" s="24">
        <v>62002.43</v>
      </c>
      <c r="E4" s="25" t="s">
        <v>6</v>
      </c>
      <c r="F4" s="24">
        <v>8953.2600000000002</v>
      </c>
      <c r="G4" s="26">
        <v>0.129</v>
      </c>
      <c r="H4" s="27" t="s">
        <v>19</v>
      </c>
      <c r="I4" s="28" t="s">
        <v>20</v>
      </c>
    </row>
    <row r="5" ht="14">
      <c r="B5" s="23"/>
      <c r="C5" s="24"/>
      <c r="D5" s="24"/>
      <c r="E5" s="25"/>
      <c r="F5" s="24"/>
      <c r="G5" s="29"/>
      <c r="H5" s="27"/>
      <c r="I5" s="30"/>
    </row>
    <row r="6" ht="14">
      <c r="B6" s="23"/>
      <c r="C6" s="24"/>
      <c r="D6" s="24"/>
      <c r="E6" s="25"/>
      <c r="F6" s="24"/>
      <c r="G6" s="29"/>
      <c r="H6" s="27"/>
      <c r="I6" s="30"/>
    </row>
    <row r="7" ht="15">
      <c r="B7" s="31" t="s">
        <v>21</v>
      </c>
      <c r="C7" s="32"/>
      <c r="D7" s="32">
        <f>SUM(D4:D4)</f>
        <v>62002.43</v>
      </c>
      <c r="E7" s="33"/>
      <c r="F7" s="32"/>
      <c r="G7" s="34"/>
      <c r="H7" s="35"/>
      <c r="I7" s="36"/>
    </row>
    <row r="8" ht="14">
      <c r="E8" s="1"/>
      <c r="H8" s="1"/>
    </row>
    <row r="9" ht="14">
      <c r="E9" s="1"/>
      <c r="H9" s="1"/>
    </row>
    <row r="10" ht="14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10" workbookViewId="0">
      <selection activeCell="B10" activeCellId="0" sqref="B10"/>
    </sheetView>
  </sheetViews>
  <sheetFormatPr defaultRowHeight="14"/>
  <cols>
    <col customWidth="1" min="2" max="2" width="28.44140625"/>
    <col customWidth="1" min="3" max="3" width="13.6640625"/>
    <col customWidth="1" min="4" max="4" width="31.21875"/>
    <col customWidth="1" min="5" max="5" width="15.77734375"/>
  </cols>
  <sheetData>
    <row r="1" ht="14"/>
    <row r="2" ht="14">
      <c r="B2" s="37" t="s">
        <v>22</v>
      </c>
      <c r="C2" s="37"/>
      <c r="D2" s="38" t="s">
        <v>23</v>
      </c>
      <c r="E2" s="38"/>
    </row>
    <row r="3" ht="14">
      <c r="B3" s="39" t="s">
        <v>4</v>
      </c>
      <c r="C3" s="40">
        <v>32000</v>
      </c>
      <c r="D3" s="41" t="s">
        <v>24</v>
      </c>
      <c r="E3" s="42">
        <v>62002</v>
      </c>
    </row>
    <row r="4" ht="14">
      <c r="B4" s="39" t="s">
        <v>7</v>
      </c>
      <c r="C4" s="40">
        <v>15000</v>
      </c>
      <c r="D4" s="43"/>
      <c r="E4" s="42"/>
    </row>
    <row r="5" ht="14">
      <c r="B5" s="39" t="s">
        <v>9</v>
      </c>
      <c r="C5" s="40">
        <v>30000</v>
      </c>
      <c r="D5" s="43"/>
      <c r="E5" s="42"/>
    </row>
    <row r="6" ht="14">
      <c r="B6" s="39"/>
      <c r="C6" s="40"/>
      <c r="D6" s="43"/>
      <c r="E6" s="42"/>
    </row>
    <row r="7" ht="14">
      <c r="B7" s="39"/>
      <c r="C7" s="40"/>
      <c r="D7" s="43"/>
      <c r="E7" s="42"/>
    </row>
    <row r="8" ht="14">
      <c r="B8" s="39"/>
      <c r="C8" s="40"/>
      <c r="D8" s="43"/>
      <c r="E8" s="42"/>
    </row>
    <row r="9" ht="14">
      <c r="B9" s="39"/>
      <c r="C9" s="40"/>
      <c r="D9" s="43" t="s">
        <v>25</v>
      </c>
      <c r="E9" s="42">
        <f>SUM(E3:E8)</f>
        <v>62002</v>
      </c>
    </row>
    <row r="10" ht="14">
      <c r="B10" s="39"/>
      <c r="C10" s="40"/>
      <c r="D10" s="44" t="s">
        <v>26</v>
      </c>
      <c r="E10" s="45"/>
    </row>
    <row r="11" ht="14">
      <c r="B11" s="39"/>
      <c r="C11" s="40"/>
      <c r="D11" s="46" t="s">
        <v>26</v>
      </c>
      <c r="E11" s="47">
        <f>C13-E9</f>
        <v>14998</v>
      </c>
    </row>
    <row r="12" ht="16.5" customHeight="1">
      <c r="B12" s="39"/>
      <c r="C12" s="40"/>
      <c r="D12" s="48"/>
      <c r="E12" s="49"/>
    </row>
    <row r="13" ht="14">
      <c r="B13" s="15" t="s">
        <v>10</v>
      </c>
      <c r="C13" s="17">
        <f>SUM(C3:C12)</f>
        <v>77000</v>
      </c>
      <c r="D13" s="50" t="s">
        <v>10</v>
      </c>
      <c r="E13" s="51">
        <f>E11+E9</f>
        <v>77000</v>
      </c>
    </row>
  </sheetData>
  <mergeCells count="5">
    <mergeCell ref="B2:C2"/>
    <mergeCell ref="D2:E2"/>
    <mergeCell ref="D10:E10"/>
    <mergeCell ref="D11:D12"/>
    <mergeCell ref="E11:E1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R7-Office/7.4.0.112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Макаров</dc:creator>
  <cp:lastModifiedBy>Мария Шелемовец</cp:lastModifiedBy>
  <cp:revision>1</cp:revision>
  <dcterms:created xsi:type="dcterms:W3CDTF">2017-08-11T14:19:50Z</dcterms:created>
  <dcterms:modified xsi:type="dcterms:W3CDTF">2024-01-04T10:31:10Z</dcterms:modified>
</cp:coreProperties>
</file>