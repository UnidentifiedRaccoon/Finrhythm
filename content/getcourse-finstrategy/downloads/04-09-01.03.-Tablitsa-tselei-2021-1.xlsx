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465" windowWidth="28605" windowHeight="17340"/>
  </bookViews>
  <sheets>
    <sheet name="Таблица целей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9" i="1" l="1"/>
  <c r="E5" i="1"/>
  <c r="H10" i="1" s="1"/>
  <c r="H12" i="1" l="1"/>
  <c r="H11" i="1"/>
  <c r="G12" i="1"/>
  <c r="G11" i="1"/>
  <c r="G10" i="1"/>
  <c r="I10" i="1" s="1"/>
  <c r="I11" i="1" l="1"/>
  <c r="I12" i="1"/>
  <c r="I13" i="1" l="1"/>
</calcChain>
</file>

<file path=xl/sharedStrings.xml><?xml version="1.0" encoding="utf-8"?>
<sst xmlns="http://schemas.openxmlformats.org/spreadsheetml/2006/main" count="23" uniqueCount="23">
  <si>
    <t>Доходность сбережений</t>
  </si>
  <si>
    <t>Инфляция</t>
  </si>
  <si>
    <t>срок 1-3 года</t>
  </si>
  <si>
    <t>срок 3-7 лет</t>
  </si>
  <si>
    <t>ИТОГО</t>
  </si>
  <si>
    <t>Текущий год</t>
  </si>
  <si>
    <t>срок 8+ лет</t>
  </si>
  <si>
    <t>срок до 1 года</t>
  </si>
  <si>
    <t>Цель №1</t>
  </si>
  <si>
    <t>Цель№2</t>
  </si>
  <si>
    <t>Цель №3</t>
  </si>
  <si>
    <t xml:space="preserve">Мои цели
</t>
  </si>
  <si>
    <t xml:space="preserve">Когда я хочу приобрести?
</t>
  </si>
  <si>
    <t>заполнить</t>
  </si>
  <si>
    <t>считает автоматически</t>
  </si>
  <si>
    <t xml:space="preserve">Сколько есть для этой цели?
</t>
  </si>
  <si>
    <t xml:space="preserve">Стоимость цели
</t>
  </si>
  <si>
    <t xml:space="preserve">Будущая стоимость
</t>
  </si>
  <si>
    <t xml:space="preserve">Доходность сбережений 
</t>
  </si>
  <si>
    <t xml:space="preserve">Сколько откладывать каждый месяц
</t>
  </si>
  <si>
    <t>Цель №1: Поставить фундамент под новый дом в 2023 году. Хотим свой дом, отдельно от родительского, чтобы с комфортом отдыхать за городом в выходные, отпуска.</t>
  </si>
  <si>
    <t>Цель №2: Создать подушку безопасности. Для своей финансовоой безопасности. 100 тыс рублей к 2023 году.</t>
  </si>
  <si>
    <t>Цель №3: Закрыть кредит в 240 тыс рублей через год. Для скорейшего освобождения от кредитного обязательства. И для реализации новый целей - постройка дома и ипотека.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</si>
</sst>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₽&quot;;[Red]\-#,##0\ &quot;₽&quot;"/>
    <numFmt numFmtId="165" formatCode="#,##0\ &quot;₽&quot;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b/>
      <sz val="16"/>
      <color rgb="FFFF0000"/>
      <name val="Verdana"/>
      <family val="2"/>
    </font>
    <font>
      <b/>
      <sz val="16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 applyBorder="1"/>
    <xf numFmtId="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3" borderId="6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0" xfId="0" applyFont="1" applyFill="1" applyBorder="1"/>
    <xf numFmtId="165" fontId="1" fillId="3" borderId="10" xfId="0" applyNumberFormat="1" applyFont="1" applyFill="1" applyBorder="1"/>
    <xf numFmtId="10" fontId="2" fillId="0" borderId="1" xfId="0" applyNumberFormat="1" applyFont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/>
    <xf numFmtId="165" fontId="1" fillId="3" borderId="8" xfId="0" applyNumberFormat="1" applyFont="1" applyFill="1" applyBorder="1"/>
    <xf numFmtId="0" fontId="1" fillId="3" borderId="9" xfId="0" applyFont="1" applyFill="1" applyBorder="1"/>
    <xf numFmtId="0" fontId="1" fillId="0" borderId="0" xfId="0" applyFont="1" applyFill="1"/>
    <xf numFmtId="165" fontId="1" fillId="0" borderId="0" xfId="0" applyNumberFormat="1" applyFont="1" applyFill="1"/>
    <xf numFmtId="0" fontId="1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4" borderId="0" xfId="0" applyFont="1" applyFill="1" applyBorder="1"/>
    <xf numFmtId="0" fontId="2" fillId="4" borderId="0" xfId="0" applyFont="1" applyFill="1" applyBorder="1" applyAlignment="1">
      <alignment horizontal="right" vertical="center"/>
    </xf>
    <xf numFmtId="9" fontId="1" fillId="4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9" fontId="2" fillId="4" borderId="0" xfId="0" applyNumberFormat="1" applyFont="1" applyFill="1" applyBorder="1" applyAlignment="1">
      <alignment horizontal="center" vertical="center"/>
    </xf>
    <xf numFmtId="9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/>
    <xf numFmtId="9" fontId="1" fillId="8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/>
    <xf numFmtId="0" fontId="2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GridLines="0" tabSelected="1" zoomScale="92" zoomScaleNormal="90" workbookViewId="0">
      <selection activeCell="C19" sqref="C19:I19"/>
    </sheetView>
  </sheetViews>
  <sheetFormatPr defaultColWidth="29.85546875" defaultRowHeight="19.5" x14ac:dyDescent="0.25"/>
  <cols>
    <col min="1" max="1" width="5" style="3" customWidth="1"/>
    <col min="2" max="2" width="8" style="3" customWidth="1"/>
    <col min="3" max="5" width="29.85546875" style="3"/>
    <col min="6" max="6" width="27" style="40" bestFit="1" customWidth="1"/>
    <col min="7" max="9" width="38" style="3" bestFit="1" customWidth="1"/>
    <col min="10" max="10" width="8" style="3" customWidth="1"/>
    <col min="11" max="16384" width="29.85546875" style="3"/>
  </cols>
  <sheetData>
    <row r="1" spans="1:14" ht="20.25" thickBot="1" x14ac:dyDescent="0.3">
      <c r="A1" s="1"/>
      <c r="B1" s="1"/>
      <c r="C1" s="1"/>
      <c r="D1" s="1"/>
      <c r="E1" s="1"/>
      <c r="F1" s="2"/>
      <c r="G1" s="1"/>
      <c r="H1" s="1"/>
      <c r="I1" s="1"/>
      <c r="J1" s="1"/>
    </row>
    <row r="2" spans="1:14" x14ac:dyDescent="0.25">
      <c r="A2" s="1"/>
      <c r="B2" s="4"/>
      <c r="C2" s="5"/>
      <c r="D2" s="5"/>
      <c r="E2" s="5"/>
      <c r="F2" s="6"/>
      <c r="G2" s="5"/>
      <c r="H2" s="5"/>
      <c r="I2" s="5"/>
      <c r="J2" s="7"/>
    </row>
    <row r="3" spans="1:14" x14ac:dyDescent="0.25">
      <c r="A3" s="1"/>
      <c r="B3" s="8"/>
      <c r="C3" s="9"/>
      <c r="D3" s="44"/>
      <c r="E3" s="44"/>
      <c r="F3" s="54" t="s">
        <v>0</v>
      </c>
      <c r="G3" s="54"/>
      <c r="H3" s="10">
        <v>0</v>
      </c>
      <c r="I3" s="11" t="s">
        <v>7</v>
      </c>
      <c r="J3" s="12"/>
    </row>
    <row r="4" spans="1:14" x14ac:dyDescent="0.25">
      <c r="A4" s="1"/>
      <c r="B4" s="8"/>
      <c r="C4" s="9"/>
      <c r="D4" s="45" t="s">
        <v>1</v>
      </c>
      <c r="E4" s="46">
        <v>0.05</v>
      </c>
      <c r="F4" s="13"/>
      <c r="G4" s="14"/>
      <c r="H4" s="46">
        <v>0.06</v>
      </c>
      <c r="I4" s="44" t="s">
        <v>2</v>
      </c>
      <c r="J4" s="12"/>
    </row>
    <row r="5" spans="1:14" x14ac:dyDescent="0.25">
      <c r="A5" s="1"/>
      <c r="B5" s="8"/>
      <c r="C5" s="9"/>
      <c r="D5" s="45" t="s">
        <v>5</v>
      </c>
      <c r="E5" s="47">
        <f ca="1">YEAR(TODAY())</f>
        <v>2022</v>
      </c>
      <c r="F5" s="15"/>
      <c r="G5" s="16"/>
      <c r="H5" s="50">
        <v>0.1</v>
      </c>
      <c r="I5" s="51" t="s">
        <v>3</v>
      </c>
      <c r="J5" s="12"/>
    </row>
    <row r="6" spans="1:14" x14ac:dyDescent="0.25">
      <c r="A6" s="1"/>
      <c r="B6" s="8"/>
      <c r="C6" s="9"/>
      <c r="D6" s="48"/>
      <c r="E6" s="49"/>
      <c r="F6" s="15"/>
      <c r="G6" s="16"/>
      <c r="H6" s="52">
        <v>0.14000000000000001</v>
      </c>
      <c r="I6" s="53" t="s">
        <v>6</v>
      </c>
      <c r="J6" s="12"/>
    </row>
    <row r="7" spans="1:14" x14ac:dyDescent="0.25">
      <c r="A7" s="1"/>
      <c r="B7" s="8"/>
      <c r="C7" s="9"/>
      <c r="D7" s="9"/>
      <c r="E7" s="9"/>
      <c r="F7" s="17"/>
      <c r="G7" s="9"/>
      <c r="H7" s="9"/>
      <c r="I7" s="9"/>
      <c r="J7" s="12"/>
    </row>
    <row r="8" spans="1:14" x14ac:dyDescent="0.25">
      <c r="A8" s="1"/>
      <c r="B8" s="8"/>
      <c r="C8" s="56" t="s">
        <v>13</v>
      </c>
      <c r="D8" s="56"/>
      <c r="E8" s="56"/>
      <c r="F8" s="56"/>
      <c r="G8" s="55" t="s">
        <v>14</v>
      </c>
      <c r="H8" s="55"/>
      <c r="I8" s="55"/>
      <c r="J8" s="12"/>
    </row>
    <row r="9" spans="1:14" s="21" customFormat="1" ht="105.95" customHeight="1" x14ac:dyDescent="0.25">
      <c r="A9" s="18"/>
      <c r="B9" s="19"/>
      <c r="C9" s="41" t="s">
        <v>11</v>
      </c>
      <c r="D9" s="41" t="s">
        <v>12</v>
      </c>
      <c r="E9" s="41" t="s">
        <v>15</v>
      </c>
      <c r="F9" s="41" t="s">
        <v>16</v>
      </c>
      <c r="G9" s="42" t="s">
        <v>17</v>
      </c>
      <c r="H9" s="42" t="s">
        <v>18</v>
      </c>
      <c r="I9" s="42" t="s">
        <v>19</v>
      </c>
      <c r="J9" s="20"/>
      <c r="N9" s="21">
        <f ca="1">MONTH(TODAY())</f>
        <v>7</v>
      </c>
    </row>
    <row r="10" spans="1:14" s="29" customFormat="1" ht="39.6" customHeight="1" x14ac:dyDescent="0.25">
      <c r="A10" s="22"/>
      <c r="B10" s="23"/>
      <c r="C10" s="24" t="s">
        <v>8</v>
      </c>
      <c r="D10" s="25">
        <v>2023</v>
      </c>
      <c r="E10" s="26">
        <v>0</v>
      </c>
      <c r="F10" s="26">
        <v>200000</v>
      </c>
      <c r="G10" s="26">
        <f ca="1">-FV($E$4,D10-$E$5,,F10,0)</f>
        <v>210000</v>
      </c>
      <c r="H10" s="27">
        <f ca="1">IF((D10-$E$5)&lt;1,$H$3,IF(((D10-$E$5)&lt;=3)*AND((D10-$E$5)&gt;=1),$H$4,IF(((D10-$E$5)&lt;=7)*AND((D10-$E$5)&gt;3),$H$5,$H$6)))</f>
        <v>0.06</v>
      </c>
      <c r="I10" s="43">
        <f ca="1">IF((D10-$E$5)&lt;1,-(G10-E10)/(12-MONTH(TODAY())),PMT(H10,(D10-$E$5),,G10-E10,0)/12)</f>
        <v>-17500.000000000004</v>
      </c>
      <c r="J10" s="28"/>
    </row>
    <row r="11" spans="1:14" ht="36" customHeight="1" x14ac:dyDescent="0.25">
      <c r="A11" s="1"/>
      <c r="B11" s="8"/>
      <c r="C11" s="24" t="s">
        <v>9</v>
      </c>
      <c r="D11" s="25">
        <v>2024</v>
      </c>
      <c r="E11" s="26">
        <v>0</v>
      </c>
      <c r="F11" s="26">
        <v>100000</v>
      </c>
      <c r="G11" s="26">
        <f ca="1">-FV($E$4,D11-$E$5,,F11,0)</f>
        <v>110250</v>
      </c>
      <c r="H11" s="27">
        <f t="shared" ref="H11:H12" ca="1" si="0">IF((D11-$E$5)&lt;1,$H$3,IF(((D11-$E$5)&lt;=3)*AND((D11-$E$5)&gt;=1),$H$4,IF(((D11-$E$5)&lt;=7)*AND((D11-$E$5)&gt;3),$H$5,$H$6)))</f>
        <v>0.06</v>
      </c>
      <c r="I11" s="43">
        <f t="shared" ref="I11:I12" ca="1" si="1">IF((D11-$E$5)&lt;1,-(G11-E11)/(12-MONTH(TODAY())),PMT(H11,(D11-$E$5),,G11-E11,0)/12)</f>
        <v>-4459.9514563106804</v>
      </c>
      <c r="J11" s="12"/>
    </row>
    <row r="12" spans="1:14" ht="35.1" customHeight="1" x14ac:dyDescent="0.25">
      <c r="A12" s="1"/>
      <c r="B12" s="8"/>
      <c r="C12" s="30" t="s">
        <v>10</v>
      </c>
      <c r="D12" s="25">
        <v>2023</v>
      </c>
      <c r="E12" s="26">
        <v>0</v>
      </c>
      <c r="F12" s="26">
        <v>240000</v>
      </c>
      <c r="G12" s="26">
        <f t="shared" ref="G12" ca="1" si="2">-FV($E$4,D12-$E$5,,F12,0)</f>
        <v>252000</v>
      </c>
      <c r="H12" s="27">
        <f t="shared" ca="1" si="0"/>
        <v>0.06</v>
      </c>
      <c r="I12" s="43">
        <f t="shared" ca="1" si="1"/>
        <v>-21000</v>
      </c>
      <c r="J12" s="12"/>
    </row>
    <row r="13" spans="1:14" ht="24" customHeight="1" x14ac:dyDescent="0.25">
      <c r="A13" s="1"/>
      <c r="B13" s="8"/>
      <c r="C13" s="31"/>
      <c r="D13" s="31"/>
      <c r="E13" s="32"/>
      <c r="F13" s="32"/>
      <c r="G13" s="32"/>
      <c r="H13" s="33" t="s">
        <v>4</v>
      </c>
      <c r="I13" s="43">
        <f ca="1">SUM(I10:I12)</f>
        <v>-42959.951456310686</v>
      </c>
      <c r="J13" s="12"/>
    </row>
    <row r="14" spans="1:14" ht="20.25" thickBot="1" x14ac:dyDescent="0.3">
      <c r="A14" s="1"/>
      <c r="B14" s="34"/>
      <c r="C14" s="35"/>
      <c r="D14" s="35"/>
      <c r="E14" s="36"/>
      <c r="F14" s="36"/>
      <c r="G14" s="36"/>
      <c r="H14" s="35"/>
      <c r="I14" s="35"/>
      <c r="J14" s="37"/>
    </row>
    <row r="15" spans="1:14" x14ac:dyDescent="0.25">
      <c r="A15" s="38"/>
      <c r="B15" s="38"/>
      <c r="C15" s="38"/>
      <c r="D15" s="38"/>
      <c r="E15" s="39"/>
      <c r="F15" s="39"/>
      <c r="G15" s="39"/>
      <c r="H15" s="38"/>
      <c r="I15" s="38"/>
      <c r="J15" s="38"/>
    </row>
    <row r="16" spans="1:14" x14ac:dyDescent="0.25">
      <c r="A16" s="38"/>
      <c r="B16" s="38"/>
      <c r="C16" s="38"/>
      <c r="D16" s="38"/>
      <c r="E16" s="39"/>
      <c r="F16" s="39"/>
      <c r="G16" s="39"/>
      <c r="H16" s="38"/>
      <c r="I16" s="38"/>
      <c r="J16" s="38"/>
    </row>
    <row r="17" spans="3:10" ht="41.25" customHeight="1" x14ac:dyDescent="0.25">
      <c r="C17" s="58" t="s">
        <v>20</v>
      </c>
      <c r="D17" s="58"/>
      <c r="E17" s="58"/>
      <c r="F17" s="58"/>
      <c r="G17" s="58"/>
      <c r="H17" s="58"/>
      <c r="I17" s="58"/>
      <c r="J17" s="58"/>
    </row>
    <row r="18" spans="3:10" ht="33" customHeight="1" x14ac:dyDescent="0.25">
      <c r="C18" s="57" t="s">
        <v>21</v>
      </c>
      <c r="D18" s="57"/>
      <c r="E18" s="57"/>
      <c r="F18" s="57"/>
      <c r="G18" s="57"/>
      <c r="H18" s="57"/>
      <c r="I18" s="57"/>
    </row>
    <row r="19" spans="3:10" ht="60" customHeight="1" x14ac:dyDescent="0.25">
      <c r="C19" s="58" t="s">
        <v>22</v>
      </c>
      <c r="D19" s="58"/>
      <c r="E19" s="58"/>
      <c r="F19" s="58"/>
      <c r="G19" s="58"/>
      <c r="H19" s="58"/>
      <c r="I19" s="58"/>
    </row>
  </sheetData>
  <mergeCells count="6">
    <mergeCell ref="C19:I19"/>
    <mergeCell ref="F3:G3"/>
    <mergeCell ref="G8:I8"/>
    <mergeCell ref="C8:F8"/>
    <mergeCell ref="C17:J17"/>
    <mergeCell ref="C18:I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целей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2022-07-09T14:59:55Z</dcterms:modified>
</cp:coreProperties>
</file>